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1"/>
  </bookViews>
  <sheets>
    <sheet name="COMMERCIAL IN" sheetId="1" r:id="rId1"/>
    <sheet name="PACKING LIST" sheetId="2" r:id="rId2"/>
  </sheets>
  <definedNames>
    <definedName name="_xlnm._FilterDatabase" localSheetId="0" hidden="1">'COMMERCIAL IN'!$M$17:$O$63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<sst xmlns="http://schemas.openxmlformats.org/spreadsheetml/2006/main" count="173" uniqueCount="94">
  <si>
    <t>Commercial Invoice</t>
  </si>
  <si>
    <t>Buyer(name,address,tel,fax,e-mail)</t>
  </si>
  <si>
    <t>Purchase Order No:2025/2/1</t>
  </si>
  <si>
    <t>Invoice No :zhwii2026012813</t>
  </si>
  <si>
    <t>The Dam Auction Company</t>
  </si>
  <si>
    <t>DATE:</t>
  </si>
  <si>
    <t>13219 Innovation Drive, Florence, Indiana 47020</t>
  </si>
  <si>
    <t>P.O DATE:   2025/2/1</t>
  </si>
  <si>
    <t>ETD :</t>
  </si>
  <si>
    <t>1-812-221-7098</t>
  </si>
  <si>
    <t xml:space="preserve">                      </t>
  </si>
  <si>
    <t>ETA :</t>
  </si>
  <si>
    <t>damauctionco@gmail.com</t>
  </si>
  <si>
    <t>Ocean Vessel Voy. No:</t>
  </si>
  <si>
    <t>.</t>
  </si>
  <si>
    <t>Seller (name,address,tel,fax,e-mail)</t>
  </si>
  <si>
    <t>Country of Origin :</t>
  </si>
  <si>
    <t>DESTINATION PORT</t>
  </si>
  <si>
    <t>WUXI ZHONGWEI CONSTRUCTION MACHINERY CO.,LTD</t>
  </si>
  <si>
    <t>CHINA</t>
  </si>
  <si>
    <t>FLORENCE</t>
  </si>
  <si>
    <t>NO.6 HUAN ZHEN BEI ROAD,WUXI CITY,JIANGSU 214160</t>
  </si>
  <si>
    <t>Payment : 100% T/T Before Shipment</t>
  </si>
  <si>
    <t>LODING PORT</t>
  </si>
  <si>
    <t>Tel:+86-8558-0006</t>
  </si>
  <si>
    <t>SHANGHAI PORT CHINA</t>
  </si>
  <si>
    <t>EMAIL:DYLAN@ZHWII.COM</t>
  </si>
  <si>
    <t>SHIPMENT: BY  40" FCL</t>
  </si>
  <si>
    <t>HS CODE:8431499900;8432900000;8431410000; 8431209000;8413709990;8430610000;8479109000</t>
  </si>
  <si>
    <t xml:space="preserve">MARKS </t>
  </si>
  <si>
    <t>Name of Item</t>
  </si>
  <si>
    <t>Item description</t>
  </si>
  <si>
    <t>Q'TY</t>
  </si>
  <si>
    <t>Weight</t>
  </si>
  <si>
    <t>Unit price(USD)</t>
  </si>
  <si>
    <t>Amount(USD)</t>
  </si>
  <si>
    <t>PCS</t>
  </si>
  <si>
    <t>Kg</t>
  </si>
  <si>
    <t>USD/PCS</t>
  </si>
  <si>
    <t>USD/KG</t>
  </si>
  <si>
    <t>N/M</t>
  </si>
  <si>
    <t>Skid Steer Stump Grinder</t>
  </si>
  <si>
    <t>Class 1 Quick Hitch</t>
  </si>
  <si>
    <t xml:space="preserve">Pallet Forks Extensions </t>
  </si>
  <si>
    <t>Skid Steer Screening Bucket</t>
  </si>
  <si>
    <t>Mini Skid Steer Loader</t>
  </si>
  <si>
    <t>QUICK COUPLER 7</t>
  </si>
  <si>
    <t>40 Gallon 2-Stage Truck Mounted Air Compressor</t>
  </si>
  <si>
    <t>QUICK COUPLER 8</t>
  </si>
  <si>
    <t>SLIDING LOADER ROCK SCREENING SHOVEL</t>
  </si>
  <si>
    <t>50 TON CAPACITY HYDRAULIC SHOP PRESS</t>
  </si>
  <si>
    <t>Heavy Duty Plate Compactor</t>
  </si>
  <si>
    <t>Mini Combination Bucket</t>
  </si>
  <si>
    <t>Skid Steer Tree Digger</t>
  </si>
  <si>
    <t>Skid Steer Bale Squeeze Hydraulic Adjustable</t>
  </si>
  <si>
    <t>Skid Steer Concrete Chuter</t>
  </si>
  <si>
    <t>Skid Steer Rock Rake</t>
  </si>
  <si>
    <t>SKID STEER LOADER SCREEN SHOVEL</t>
  </si>
  <si>
    <t>200mm Bucket-12EX-D08</t>
  </si>
  <si>
    <t>600mm Bucket 12EX-WD20B</t>
  </si>
  <si>
    <t>800mm Bucket 12EX-WD32B</t>
  </si>
  <si>
    <t>Ripper12EX-STQ</t>
  </si>
  <si>
    <t>A400mm Rake 12EX-PZ20</t>
  </si>
  <si>
    <t>Grabber 12EX-ZMQ</t>
  </si>
  <si>
    <t>Auger(20cm)12EX-AGR&amp;200A</t>
  </si>
  <si>
    <t>Auger Rod(30cm)300A</t>
  </si>
  <si>
    <t>Quich Hitch 12EX-KH</t>
  </si>
  <si>
    <t>BUCKET TEETH +SIDE TEETH</t>
  </si>
  <si>
    <t>3 Point Quick Tach</t>
  </si>
  <si>
    <t>Class 1 Tractors Quick Hitch</t>
  </si>
  <si>
    <t>ME18 MINI EXCAVATOR</t>
  </si>
  <si>
    <t>MINI SKID STEER AUGER DRIVE&amp;BIT</t>
  </si>
  <si>
    <t>Mini Pallet Fork</t>
  </si>
  <si>
    <t xml:space="preserve">Skid Steer 6 Way Dozer Blade </t>
  </si>
  <si>
    <t>Skid Steer Pallet Fork Hydraulic Adjustable</t>
  </si>
  <si>
    <t>PLASMA CUTTER</t>
  </si>
  <si>
    <t>YINTATECH 1/2” Universal Quick Attach Mount Plate</t>
  </si>
  <si>
    <t>ECOTRIC 3/8" Thick Quick Tach Cut Out Mount Plate</t>
  </si>
  <si>
    <t>YINTATECH 1/4” Universal Quick Attach Mount Plate</t>
  </si>
  <si>
    <t>Skid Steer Post Driver</t>
  </si>
  <si>
    <t xml:space="preserve">Mini Skid Steer Stump Grapple </t>
  </si>
  <si>
    <t>QUICK COUPLER 5</t>
  </si>
  <si>
    <t>QUICK COUPLER 6</t>
  </si>
  <si>
    <t>RT12R MINI EXCAVATOR</t>
  </si>
  <si>
    <t>Total</t>
  </si>
  <si>
    <t xml:space="preserve"> </t>
  </si>
  <si>
    <t>Packing list</t>
  </si>
  <si>
    <t>Item description(mm)</t>
  </si>
  <si>
    <t>PACKAGE</t>
  </si>
  <si>
    <t>NET</t>
  </si>
  <si>
    <t>GROSS</t>
  </si>
  <si>
    <t>MEASEREMENT</t>
  </si>
  <si>
    <t xml:space="preserve">BUNDLES </t>
  </si>
  <si>
    <t>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</si>
</sst>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kg&quot;"/>
    <numFmt numFmtId="177" formatCode="\$#,##0;\-\$#,##0"/>
  </numFmts>
  <fonts count="31">
    <font>
      <sz val="12"/>
      <name val="宋体"/>
      <charset val="134"/>
    </font>
    <font>
      <sz val="9"/>
      <name val="Arial"/>
      <charset val="134"/>
    </font>
    <font>
      <sz val="12"/>
      <name val="Arial"/>
      <charset val="134"/>
    </font>
    <font>
      <b/>
      <sz val="22"/>
      <name val="宋体"/>
      <charset val="134"/>
      <scheme val="minor"/>
    </font>
    <font>
      <b/>
      <u/>
      <sz val="26"/>
      <name val="宋体"/>
      <charset val="134"/>
      <scheme val="minor"/>
    </font>
    <font>
      <u/>
      <sz val="12"/>
      <color theme="10"/>
      <name val="宋体"/>
      <charset val="134"/>
    </font>
    <font>
      <sz val="9"/>
      <color theme="1"/>
      <name val="Arial"/>
      <charset val="134"/>
    </font>
    <font>
      <sz val="8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u/>
      <sz val="24"/>
      <name val="宋体"/>
      <charset val="134"/>
      <scheme val="minor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 style="medium">
        <color auto="1"/>
      </top>
      <bottom style="thin">
        <color theme="0" tint="-0.25"/>
      </bottom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 style="thin">
        <color theme="0" tint="-0.25"/>
      </top>
      <bottom style="thin">
        <color theme="0" tint="-0.25"/>
      </bottom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/>
      <top/>
      <bottom/>
      <diagonal/>
    </border>
    <border>
      <left/>
      <right style="thin">
        <color theme="0" tint="-0.25"/>
      </right>
      <top/>
      <bottom/>
      <diagonal/>
    </border>
    <border>
      <left style="thin">
        <color theme="0" tint="-0.25"/>
      </left>
      <right/>
      <top style="thin">
        <color theme="0" tint="-0.25"/>
      </top>
      <bottom/>
      <diagonal/>
    </border>
    <border>
      <left/>
      <right/>
      <top style="thin">
        <color theme="0" tint="-0.25"/>
      </top>
      <bottom/>
      <diagonal/>
    </border>
    <border>
      <left/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 style="medium">
        <color auto="1"/>
      </right>
      <top style="thin">
        <color theme="0" tint="-0.2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center"/>
    </xf>
    <xf numFmtId="0" fontId="12" fillId="3" borderId="2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32" applyNumberFormat="0" applyAlignment="0" applyProtection="0">
      <alignment vertical="center"/>
    </xf>
    <xf numFmtId="0" fontId="21" fillId="5" borderId="33" applyNumberFormat="0" applyAlignment="0" applyProtection="0">
      <alignment vertical="center"/>
    </xf>
    <xf numFmtId="0" fontId="22" fillId="5" borderId="32" applyNumberFormat="0" applyAlignment="0" applyProtection="0">
      <alignment vertical="center"/>
    </xf>
    <xf numFmtId="0" fontId="23" fillId="6" borderId="34" applyNumberFormat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Fill="1" applyBorder="1" applyAlignment="1">
      <alignment vertical="center"/>
    </xf>
    <xf numFmtId="14" fontId="1" fillId="0" borderId="6" xfId="0" applyNumberFormat="1" applyFont="1" applyFill="1" applyBorder="1" applyAlignment="1">
      <alignment horizontal="right"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4" fontId="1" fillId="0" borderId="7" xfId="0" applyNumberFormat="1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7" xfId="0" applyNumberFormat="1" applyFont="1" applyFill="1" applyBorder="1" applyAlignment="1" applyProtection="1">
      <alignment horizontal="left" vertical="center"/>
    </xf>
    <xf numFmtId="14" fontId="1" fillId="0" borderId="9" xfId="0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right" vertical="center"/>
    </xf>
    <xf numFmtId="0" fontId="5" fillId="0" borderId="5" xfId="6" applyFont="1" applyFill="1" applyBorder="1" applyAlignment="1" applyProtection="1">
      <alignment horizontal="left" vertical="center"/>
    </xf>
    <xf numFmtId="0" fontId="1" fillId="0" borderId="0" xfId="6" applyFont="1" applyFill="1" applyBorder="1" applyAlignment="1" applyProtection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 applyProtection="1">
      <alignment horizontal="left" vertical="center"/>
    </xf>
    <xf numFmtId="0" fontId="1" fillId="0" borderId="9" xfId="0" applyNumberFormat="1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6" fillId="0" borderId="10" xfId="0" applyFont="1" applyFill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3" xfId="0" applyNumberFormat="1" applyFont="1" applyBorder="1" applyAlignment="1">
      <alignment horizontal="left" vertical="center" wrapText="1"/>
    </xf>
    <xf numFmtId="0" fontId="1" fillId="0" borderId="4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left" vertical="center"/>
    </xf>
    <xf numFmtId="0" fontId="8" fillId="0" borderId="14" xfId="0" applyFont="1" applyFill="1" applyBorder="1" applyAlignment="1">
      <alignment horizontal="center" vertical="center"/>
    </xf>
    <xf numFmtId="0" fontId="9" fillId="0" borderId="14" xfId="0" applyFont="1" applyFill="1" applyBorder="1">
      <alignment vertical="center"/>
    </xf>
    <xf numFmtId="0" fontId="9" fillId="0" borderId="14" xfId="0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left" vertical="center"/>
    </xf>
    <xf numFmtId="0" fontId="2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center" vertical="center"/>
    </xf>
    <xf numFmtId="0" fontId="9" fillId="0" borderId="20" xfId="0" applyFont="1" applyFill="1" applyBorder="1">
      <alignment vertical="center"/>
    </xf>
    <xf numFmtId="0" fontId="2" fillId="0" borderId="18" xfId="0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right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8" fillId="0" borderId="23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27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right" vertical="center"/>
    </xf>
    <xf numFmtId="0" fontId="8" fillId="0" borderId="28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right" vertical="center"/>
    </xf>
    <xf numFmtId="0" fontId="8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right" vertical="center"/>
    </xf>
    <xf numFmtId="0" fontId="8" fillId="0" borderId="8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A_1" xfId="49"/>
  </cellStyles>
  <tableStyles count="0" defaultTableStyle="TableStyleMedium9"/>
  <colors>
    <mruColors>
      <color rgb="00938CB2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0</xdr:colOff>
      <xdr:row>16</xdr:row>
      <xdr:rowOff>0</xdr:rowOff>
    </xdr:from>
    <xdr:ext cx="76200" cy="219075"/>
    <xdr:sp>
      <xdr:nvSpPr>
        <xdr:cNvPr id="6" name="Text Box 67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7" name="Text Box 68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8" name="Text Box 69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9" name="Text Box 70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10" name="Text Box 67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11" name="Text Box 68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12" name="Text Box 69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13" name="Text Box 70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14" name="Text Box 71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15" name="Text Box 72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16" name="Text Box 73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17" name="Text Box 74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18" name="Text Box 75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19" name="Text Box 76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20" name="Text Box 77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21" name="Text Box 78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22" name="Text Box 79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23" name="Text Box 80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24" name="Text Box 81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25" name="Text Box 82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26" name="Text Box 105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27" name="Text Box 106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28" name="Text Box 107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0</xdr:colOff>
      <xdr:row>16</xdr:row>
      <xdr:rowOff>0</xdr:rowOff>
    </xdr:from>
    <xdr:ext cx="76200" cy="219075"/>
    <xdr:sp>
      <xdr:nvSpPr>
        <xdr:cNvPr id="29" name="Text Box 108"/>
        <xdr:cNvSpPr txBox="1">
          <a:spLocks noChangeArrowheads="1"/>
        </xdr:cNvSpPr>
      </xdr:nvSpPr>
      <xdr:spPr>
        <a:xfrm>
          <a:off x="8472805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5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5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5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5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5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5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5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5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5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5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6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6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6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6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6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6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6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6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6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6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7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7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7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7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7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7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7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7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7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7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8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8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8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8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8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8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8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8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8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8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9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9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9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9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9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9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9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9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9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9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0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0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0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0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0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0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0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0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0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0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1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1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1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1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1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1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1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1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1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1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2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2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2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2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2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2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2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2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2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2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3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3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3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3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3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3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3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3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3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3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4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4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4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4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4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4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4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4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4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4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5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5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5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5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5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5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5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5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5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5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6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6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6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6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6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6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6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6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6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6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7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7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7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7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7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7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7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7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7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7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8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8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8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8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8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8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8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8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8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8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9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9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9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9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9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9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9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9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9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19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0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0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0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0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0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0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0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0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0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0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1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1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1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1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1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1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1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1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1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1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2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2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2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2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2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2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2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2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2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2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3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3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3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3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3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3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3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3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3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3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4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4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4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4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4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4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4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4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4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4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5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5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5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5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5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5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5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5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5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5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6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6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6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6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6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6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6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6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6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6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7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7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7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7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7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7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7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7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7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7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8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8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8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8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8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8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8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8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8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8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9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9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9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9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9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9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9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9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9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29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0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0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0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0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0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0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0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0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0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0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1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1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1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1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1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1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1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1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1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1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2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2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2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2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2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2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2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2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2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2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3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3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3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3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3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3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3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3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3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3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4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4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4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4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4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4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4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4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4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4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5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5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5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5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5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5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5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5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5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5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6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6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6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6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6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6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6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6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6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6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7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7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7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7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7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7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7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7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7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7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8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8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8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8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8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8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8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8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8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8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9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9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9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9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9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9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9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9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9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39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0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0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0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0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0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0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0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0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0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0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1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1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1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1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1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1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1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1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1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1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2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2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2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2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2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2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2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2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2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2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3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3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3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3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3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3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3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3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3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3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4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4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4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4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4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4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4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4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4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4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5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5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5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5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5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5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5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5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5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5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6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6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6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6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6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6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6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6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6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6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7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7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7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7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7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7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76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77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78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79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80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81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82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83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84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209550</xdr:colOff>
      <xdr:row>16</xdr:row>
      <xdr:rowOff>0</xdr:rowOff>
    </xdr:from>
    <xdr:ext cx="76200" cy="219075"/>
    <xdr:sp>
      <xdr:nvSpPr>
        <xdr:cNvPr id="485" name="Text Box 352"/>
        <xdr:cNvSpPr txBox="1">
          <a:spLocks noChangeArrowheads="1"/>
        </xdr:cNvSpPr>
      </xdr:nvSpPr>
      <xdr:spPr>
        <a:xfrm>
          <a:off x="7720330" y="4238625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mauctionco@gmail.com" TargetMode="External"/><Relationship Id="rId2" Type="http://schemas.openxmlformats.org/officeDocument/2006/relationships/hyperlink" Target="mailto:xielj@usaatspower.com" TargetMode="External"/><Relationship Id="rId1" Type="http://schemas.openxmlformats.org/officeDocument/2006/relationships/hyperlink" Target="mailto:andy@equip-bid.com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mailto:damauctionco@gmail.com" TargetMode="External"/><Relationship Id="rId3" Type="http://schemas.openxmlformats.org/officeDocument/2006/relationships/hyperlink" Target="mailto:xielj@usaatspower.com" TargetMode="External"/><Relationship Id="rId2" Type="http://schemas.openxmlformats.org/officeDocument/2006/relationships/hyperlink" Target="mailto:andy@equip-bid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workbookViewId="0">
      <selection activeCell="A3" sqref="A3:L14"/>
    </sheetView>
  </sheetViews>
  <sheetFormatPr defaultColWidth="9" defaultRowHeight="21.75" customHeight="1"/>
  <cols>
    <col min="1" max="1" width="7.33333333333333" style="3" customWidth="1"/>
    <col min="2" max="2" width="4.33333333333333" style="2" customWidth="1"/>
    <col min="3" max="3" width="8.08333333333333" style="3" customWidth="1"/>
    <col min="4" max="4" width="6.75" style="3" customWidth="1"/>
    <col min="5" max="5" width="6.5" style="3" customWidth="1"/>
    <col min="6" max="6" width="12.375" style="3" customWidth="1"/>
    <col min="7" max="7" width="21.25" style="3" customWidth="1"/>
    <col min="8" max="8" width="9.08333333333333" style="3" customWidth="1"/>
    <col min="9" max="9" width="9" style="3" customWidth="1"/>
    <col min="10" max="10" width="7.5" style="3" customWidth="1"/>
    <col min="11" max="11" width="9.75" style="3" customWidth="1"/>
    <col min="12" max="12" width="12" style="3" customWidth="1"/>
    <col min="13" max="184" width="9.58333333333333" style="3" customWidth="1"/>
    <col min="185" max="16384" width="9" style="3"/>
  </cols>
  <sheetData>
    <row r="1" ht="30" customHeight="1" spans="1:12">
      <c r="A1" s="104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</row>
    <row r="2" ht="27" customHeight="1" spans="1:12">
      <c r="A2" s="107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9"/>
    </row>
    <row r="3" s="103" customFormat="1" ht="18" customHeight="1" spans="1:12">
      <c r="A3" s="6" t="s">
        <v>1</v>
      </c>
      <c r="B3" s="7"/>
      <c r="C3" s="8"/>
      <c r="D3" s="8"/>
      <c r="E3" s="8"/>
      <c r="F3" s="8"/>
      <c r="G3" s="9" t="s">
        <v>2</v>
      </c>
      <c r="H3" s="10"/>
      <c r="I3" s="10"/>
      <c r="J3" s="10"/>
      <c r="K3" s="6" t="s">
        <v>3</v>
      </c>
      <c r="L3" s="11"/>
    </row>
    <row r="4" s="103" customFormat="1" ht="18" customHeight="1" spans="1:12">
      <c r="A4" s="12" t="s">
        <v>4</v>
      </c>
      <c r="B4" s="13"/>
      <c r="C4" s="13"/>
      <c r="D4" s="13"/>
      <c r="E4" s="13"/>
      <c r="F4" s="13"/>
      <c r="G4" s="14"/>
      <c r="H4" s="15"/>
      <c r="I4" s="15"/>
      <c r="J4" s="15"/>
      <c r="K4" s="16" t="s">
        <v>5</v>
      </c>
      <c r="L4" s="17">
        <v>46050</v>
      </c>
    </row>
    <row r="5" s="103" customFormat="1" ht="18" customHeight="1" spans="1:12">
      <c r="A5" s="18" t="s">
        <v>6</v>
      </c>
      <c r="B5" s="13"/>
      <c r="C5" s="13"/>
      <c r="D5" s="13"/>
      <c r="E5" s="13"/>
      <c r="F5" s="13"/>
      <c r="G5" s="19" t="s">
        <v>7</v>
      </c>
      <c r="H5" s="20"/>
      <c r="I5" s="20"/>
      <c r="J5" s="20"/>
      <c r="K5" s="12" t="s">
        <v>8</v>
      </c>
      <c r="L5" s="17">
        <v>46056</v>
      </c>
    </row>
    <row r="6" s="103" customFormat="1" ht="20" customHeight="1" spans="1:12">
      <c r="A6" s="18" t="s">
        <v>9</v>
      </c>
      <c r="B6" s="13"/>
      <c r="C6" s="13"/>
      <c r="D6" s="13"/>
      <c r="E6" s="13"/>
      <c r="F6" s="13"/>
      <c r="G6" s="21" t="s">
        <v>10</v>
      </c>
      <c r="H6" s="22"/>
      <c r="I6" s="23"/>
      <c r="J6" s="24"/>
      <c r="K6" s="25" t="s">
        <v>11</v>
      </c>
      <c r="L6" s="26">
        <v>46081</v>
      </c>
    </row>
    <row r="7" s="103" customFormat="1" ht="18" customHeight="1" spans="1:12">
      <c r="A7" s="18" t="s">
        <v>12</v>
      </c>
      <c r="B7" s="13"/>
      <c r="C7" s="13"/>
      <c r="D7" s="13"/>
      <c r="E7" s="13"/>
      <c r="F7" s="13"/>
      <c r="G7" s="14" t="s">
        <v>13</v>
      </c>
      <c r="H7" s="27"/>
      <c r="I7" s="27"/>
      <c r="J7" s="27"/>
      <c r="K7" s="15"/>
      <c r="L7" s="28" t="s">
        <v>14</v>
      </c>
    </row>
    <row r="8" s="103" customFormat="1" ht="18" customHeight="1" spans="1:12">
      <c r="A8" s="29"/>
      <c r="B8" s="30"/>
      <c r="C8" s="31"/>
      <c r="D8" s="31"/>
      <c r="E8" s="31"/>
      <c r="F8" s="31"/>
      <c r="G8" s="25"/>
      <c r="H8" s="32"/>
      <c r="I8" s="32"/>
      <c r="J8" s="32"/>
      <c r="K8" s="32"/>
      <c r="L8" s="33"/>
    </row>
    <row r="9" s="103" customFormat="1" ht="18" customHeight="1" spans="1:12">
      <c r="A9" s="9" t="s">
        <v>15</v>
      </c>
      <c r="B9" s="10"/>
      <c r="C9" s="34"/>
      <c r="D9" s="34"/>
      <c r="E9" s="34"/>
      <c r="F9" s="35"/>
      <c r="G9" s="10" t="s">
        <v>16</v>
      </c>
      <c r="H9" s="34"/>
      <c r="I9" s="34"/>
      <c r="J9" s="35"/>
      <c r="K9" s="9" t="s">
        <v>17</v>
      </c>
      <c r="L9" s="35"/>
    </row>
    <row r="10" s="103" customFormat="1" ht="18" customHeight="1" spans="1:12">
      <c r="A10" s="14" t="s">
        <v>18</v>
      </c>
      <c r="B10" s="36"/>
      <c r="C10" s="36"/>
      <c r="D10" s="36"/>
      <c r="E10" s="36"/>
      <c r="F10" s="37"/>
      <c r="G10" s="15" t="s">
        <v>19</v>
      </c>
      <c r="H10" s="27"/>
      <c r="I10" s="27"/>
      <c r="J10" s="38"/>
      <c r="K10" s="39" t="s">
        <v>20</v>
      </c>
      <c r="L10" s="39"/>
    </row>
    <row r="11" s="103" customFormat="1" ht="18" customHeight="1" spans="1:12">
      <c r="A11" s="14" t="s">
        <v>21</v>
      </c>
      <c r="B11" s="36"/>
      <c r="C11" s="36"/>
      <c r="D11" s="36"/>
      <c r="E11" s="36"/>
      <c r="F11" s="37"/>
      <c r="G11" s="40" t="s">
        <v>22</v>
      </c>
      <c r="H11" s="40"/>
      <c r="I11" s="40"/>
      <c r="J11" s="41"/>
      <c r="K11" s="14" t="s">
        <v>23</v>
      </c>
      <c r="L11" s="38"/>
    </row>
    <row r="12" s="103" customFormat="1" ht="18" customHeight="1" spans="1:12">
      <c r="A12" s="14" t="s">
        <v>24</v>
      </c>
      <c r="B12" s="36"/>
      <c r="C12" s="36"/>
      <c r="D12" s="36"/>
      <c r="E12" s="36"/>
      <c r="F12" s="37"/>
      <c r="G12" s="42"/>
      <c r="H12" s="42"/>
      <c r="I12" s="42"/>
      <c r="J12" s="43"/>
      <c r="K12" s="44" t="s">
        <v>25</v>
      </c>
      <c r="L12" s="45"/>
    </row>
    <row r="13" s="103" customFormat="1" ht="18" customHeight="1" spans="1:12">
      <c r="A13" s="14" t="s">
        <v>26</v>
      </c>
      <c r="B13" s="36"/>
      <c r="C13" s="36"/>
      <c r="D13" s="36"/>
      <c r="E13" s="36"/>
      <c r="F13" s="37"/>
      <c r="G13" s="42"/>
      <c r="H13" s="42"/>
      <c r="I13" s="42"/>
      <c r="J13" s="43"/>
      <c r="K13" s="14" t="s">
        <v>27</v>
      </c>
      <c r="L13" s="38"/>
    </row>
    <row r="14" s="103" customFormat="1" ht="40" customHeight="1" spans="1:12">
      <c r="A14" s="14"/>
      <c r="B14" s="36"/>
      <c r="C14" s="36"/>
      <c r="D14" s="36"/>
      <c r="E14" s="36"/>
      <c r="F14" s="37"/>
      <c r="G14" s="46" t="s">
        <v>28</v>
      </c>
      <c r="H14" s="46"/>
      <c r="I14" s="46"/>
      <c r="J14" s="46"/>
      <c r="K14" s="46"/>
      <c r="L14" s="47"/>
    </row>
    <row r="15" s="103" customFormat="1" ht="18" customHeight="1" spans="1:12">
      <c r="A15" s="48" t="s">
        <v>29</v>
      </c>
      <c r="B15" s="34" t="s">
        <v>30</v>
      </c>
      <c r="C15" s="34"/>
      <c r="D15" s="34" t="s">
        <v>31</v>
      </c>
      <c r="E15" s="34"/>
      <c r="F15" s="34"/>
      <c r="G15" s="34"/>
      <c r="H15" s="34" t="s">
        <v>32</v>
      </c>
      <c r="I15" s="34" t="s">
        <v>33</v>
      </c>
      <c r="J15" s="34" t="s">
        <v>34</v>
      </c>
      <c r="K15" s="34"/>
      <c r="L15" s="35" t="s">
        <v>35</v>
      </c>
    </row>
    <row r="16" s="103" customFormat="1" ht="18" customHeight="1" spans="1:12">
      <c r="A16" s="49"/>
      <c r="B16" s="27"/>
      <c r="C16" s="27"/>
      <c r="D16" s="27"/>
      <c r="E16" s="27"/>
      <c r="F16" s="27"/>
      <c r="G16" s="27"/>
      <c r="H16" s="27" t="s">
        <v>36</v>
      </c>
      <c r="I16" s="27" t="s">
        <v>37</v>
      </c>
      <c r="J16" s="27" t="s">
        <v>38</v>
      </c>
      <c r="K16" s="27" t="s">
        <v>39</v>
      </c>
      <c r="L16" s="38"/>
    </row>
    <row r="17" ht="18" customHeight="1" spans="1:12">
      <c r="A17" s="51" t="s">
        <v>40</v>
      </c>
      <c r="B17" s="52"/>
      <c r="C17" s="53"/>
      <c r="D17" s="54" t="s">
        <v>41</v>
      </c>
      <c r="E17" s="54"/>
      <c r="F17" s="54"/>
      <c r="G17" s="54"/>
      <c r="H17" s="55">
        <v>3</v>
      </c>
      <c r="I17" s="110"/>
      <c r="J17" s="111">
        <v>1460</v>
      </c>
      <c r="K17" s="110"/>
      <c r="L17" s="112">
        <f t="shared" ref="L17:L22" si="0">H17*J17</f>
        <v>4380</v>
      </c>
    </row>
    <row r="18" ht="18" customHeight="1" spans="1:12">
      <c r="A18" s="60"/>
      <c r="B18" s="61"/>
      <c r="C18" s="62"/>
      <c r="D18" s="63" t="s">
        <v>42</v>
      </c>
      <c r="E18" s="63"/>
      <c r="F18" s="63"/>
      <c r="G18" s="63"/>
      <c r="H18" s="64">
        <v>2</v>
      </c>
      <c r="J18" s="113">
        <v>47</v>
      </c>
      <c r="L18" s="114">
        <f t="shared" si="0"/>
        <v>94</v>
      </c>
    </row>
    <row r="19" customHeight="1" spans="1:12">
      <c r="A19" s="69"/>
      <c r="B19" s="70"/>
      <c r="C19" s="71"/>
      <c r="D19" s="63" t="s">
        <v>43</v>
      </c>
      <c r="E19" s="63"/>
      <c r="F19" s="63"/>
      <c r="G19" s="63"/>
      <c r="H19" s="72">
        <v>10</v>
      </c>
      <c r="J19" s="113">
        <v>15</v>
      </c>
      <c r="L19" s="114">
        <f t="shared" si="0"/>
        <v>150</v>
      </c>
    </row>
    <row r="20" customHeight="1" spans="1:12">
      <c r="A20" s="69"/>
      <c r="B20" s="70"/>
      <c r="C20" s="71"/>
      <c r="D20" s="63" t="s">
        <v>44</v>
      </c>
      <c r="E20" s="63"/>
      <c r="F20" s="63"/>
      <c r="G20" s="63"/>
      <c r="H20" s="76">
        <v>2</v>
      </c>
      <c r="J20" s="113">
        <v>790</v>
      </c>
      <c r="L20" s="114">
        <f t="shared" si="0"/>
        <v>1580</v>
      </c>
    </row>
    <row r="21" customHeight="1" spans="1:12">
      <c r="A21" s="77"/>
      <c r="B21" s="78"/>
      <c r="C21" s="79"/>
      <c r="D21" s="80" t="s">
        <v>45</v>
      </c>
      <c r="E21" s="81"/>
      <c r="F21" s="81"/>
      <c r="G21" s="82"/>
      <c r="H21" s="76">
        <v>2</v>
      </c>
      <c r="J21" s="113">
        <v>3262</v>
      </c>
      <c r="L21" s="114">
        <f t="shared" si="0"/>
        <v>6524</v>
      </c>
    </row>
    <row r="22" customHeight="1" spans="1:12">
      <c r="A22" s="60"/>
      <c r="B22" s="61"/>
      <c r="C22" s="62"/>
      <c r="D22" s="85" t="s">
        <v>46</v>
      </c>
      <c r="E22" s="86"/>
      <c r="F22" s="86"/>
      <c r="G22" s="87"/>
      <c r="H22" s="76">
        <v>2</v>
      </c>
      <c r="J22" s="113">
        <v>54</v>
      </c>
      <c r="L22" s="114">
        <f t="shared" si="0"/>
        <v>108</v>
      </c>
    </row>
    <row r="23" customHeight="1" spans="1:12">
      <c r="A23" s="60"/>
      <c r="B23" s="61"/>
      <c r="C23" s="62"/>
      <c r="D23" s="85" t="s">
        <v>47</v>
      </c>
      <c r="E23" s="86"/>
      <c r="F23" s="86"/>
      <c r="G23" s="87"/>
      <c r="H23" s="76">
        <v>2</v>
      </c>
      <c r="J23" s="113">
        <v>697</v>
      </c>
      <c r="L23" s="114">
        <f t="shared" ref="L23:L31" si="1">H23*J23</f>
        <v>1394</v>
      </c>
    </row>
    <row r="24" customHeight="1" spans="1:12">
      <c r="A24" s="60"/>
      <c r="B24" s="61"/>
      <c r="C24" s="62"/>
      <c r="D24" s="85" t="s">
        <v>48</v>
      </c>
      <c r="E24" s="86"/>
      <c r="F24" s="86"/>
      <c r="G24" s="87"/>
      <c r="H24" s="76">
        <v>2</v>
      </c>
      <c r="J24" s="113">
        <v>32</v>
      </c>
      <c r="L24" s="114">
        <f t="shared" si="1"/>
        <v>64</v>
      </c>
    </row>
    <row r="25" customHeight="1" spans="1:12">
      <c r="A25" s="60"/>
      <c r="B25" s="61"/>
      <c r="C25" s="62"/>
      <c r="D25" s="85" t="s">
        <v>49</v>
      </c>
      <c r="E25" s="86"/>
      <c r="F25" s="86"/>
      <c r="G25" s="87"/>
      <c r="H25" s="76">
        <v>8</v>
      </c>
      <c r="J25" s="113">
        <v>517</v>
      </c>
      <c r="L25" s="114">
        <f t="shared" si="1"/>
        <v>4136</v>
      </c>
    </row>
    <row r="26" customHeight="1" spans="1:12">
      <c r="A26" s="90"/>
      <c r="B26" s="91"/>
      <c r="C26" s="83"/>
      <c r="D26" s="81" t="s">
        <v>50</v>
      </c>
      <c r="E26" s="81"/>
      <c r="F26" s="81"/>
      <c r="G26" s="81"/>
      <c r="H26" s="76">
        <v>2</v>
      </c>
      <c r="J26" s="113">
        <v>570</v>
      </c>
      <c r="L26" s="114">
        <f t="shared" si="1"/>
        <v>1140</v>
      </c>
    </row>
    <row r="27" customHeight="1" spans="1:12">
      <c r="A27" s="90"/>
      <c r="B27" s="91"/>
      <c r="C27" s="83"/>
      <c r="D27" s="81" t="s">
        <v>51</v>
      </c>
      <c r="E27" s="81"/>
      <c r="F27" s="81"/>
      <c r="G27" s="81"/>
      <c r="H27" s="76">
        <v>3</v>
      </c>
      <c r="J27" s="113">
        <v>320</v>
      </c>
      <c r="L27" s="114">
        <f t="shared" si="1"/>
        <v>960</v>
      </c>
    </row>
    <row r="28" customHeight="1" spans="1:12">
      <c r="A28" s="90"/>
      <c r="B28" s="91"/>
      <c r="C28" s="83"/>
      <c r="D28" s="81" t="s">
        <v>52</v>
      </c>
      <c r="E28" s="81"/>
      <c r="F28" s="81"/>
      <c r="G28" s="81"/>
      <c r="H28" s="76">
        <v>3</v>
      </c>
      <c r="J28" s="113">
        <v>355</v>
      </c>
      <c r="L28" s="114">
        <f t="shared" si="1"/>
        <v>1065</v>
      </c>
    </row>
    <row r="29" customHeight="1" spans="1:12">
      <c r="A29" s="90"/>
      <c r="B29" s="91"/>
      <c r="C29" s="83"/>
      <c r="D29" s="81" t="s">
        <v>53</v>
      </c>
      <c r="E29" s="81"/>
      <c r="F29" s="81"/>
      <c r="G29" s="81"/>
      <c r="H29" s="76">
        <v>3</v>
      </c>
      <c r="J29" s="113">
        <v>240</v>
      </c>
      <c r="L29" s="114">
        <f t="shared" si="1"/>
        <v>720</v>
      </c>
    </row>
    <row r="30" customHeight="1" spans="1:12">
      <c r="A30" s="90"/>
      <c r="B30" s="91"/>
      <c r="C30" s="83"/>
      <c r="D30" s="81" t="s">
        <v>54</v>
      </c>
      <c r="E30" s="81"/>
      <c r="F30" s="81"/>
      <c r="G30" s="81"/>
      <c r="H30" s="76">
        <v>1</v>
      </c>
      <c r="J30" s="113">
        <v>742</v>
      </c>
      <c r="L30" s="114">
        <f t="shared" si="1"/>
        <v>742</v>
      </c>
    </row>
    <row r="31" customHeight="1" spans="1:12">
      <c r="A31" s="90"/>
      <c r="B31" s="91"/>
      <c r="C31" s="83"/>
      <c r="D31" s="81" t="s">
        <v>55</v>
      </c>
      <c r="E31" s="81"/>
      <c r="F31" s="81"/>
      <c r="G31" s="81"/>
      <c r="H31" s="76">
        <v>1</v>
      </c>
      <c r="J31" s="113">
        <v>560</v>
      </c>
      <c r="L31" s="114">
        <f t="shared" si="1"/>
        <v>560</v>
      </c>
    </row>
    <row r="32" customHeight="1" spans="1:12">
      <c r="A32" s="90"/>
      <c r="B32" s="91"/>
      <c r="C32" s="83"/>
      <c r="D32" s="81" t="s">
        <v>56</v>
      </c>
      <c r="E32" s="81"/>
      <c r="F32" s="81"/>
      <c r="G32" s="81"/>
      <c r="H32" s="76">
        <v>1</v>
      </c>
      <c r="J32" s="113">
        <v>965</v>
      </c>
      <c r="L32" s="114">
        <f t="shared" ref="L25:L60" si="2">H32*J32</f>
        <v>965</v>
      </c>
    </row>
    <row r="33" customHeight="1" spans="1:12">
      <c r="A33" s="90"/>
      <c r="B33" s="91"/>
      <c r="C33" s="83"/>
      <c r="D33" s="81" t="s">
        <v>57</v>
      </c>
      <c r="E33" s="81"/>
      <c r="F33" s="81"/>
      <c r="G33" s="81"/>
      <c r="H33" s="76">
        <v>2</v>
      </c>
      <c r="I33" s="115"/>
      <c r="J33" s="113">
        <v>295</v>
      </c>
      <c r="K33" s="115"/>
      <c r="L33" s="114">
        <f t="shared" si="2"/>
        <v>590</v>
      </c>
    </row>
    <row r="34" customHeight="1" spans="1:12">
      <c r="A34" s="90"/>
      <c r="B34" s="91"/>
      <c r="C34" s="83"/>
      <c r="D34" s="81" t="s">
        <v>58</v>
      </c>
      <c r="E34" s="81"/>
      <c r="F34" s="81"/>
      <c r="G34" s="81"/>
      <c r="H34" s="76">
        <v>1</v>
      </c>
      <c r="I34" s="115"/>
      <c r="J34" s="113">
        <v>35</v>
      </c>
      <c r="K34" s="115"/>
      <c r="L34" s="114">
        <f t="shared" si="2"/>
        <v>35</v>
      </c>
    </row>
    <row r="35" customHeight="1" spans="1:12">
      <c r="A35" s="90"/>
      <c r="B35" s="91"/>
      <c r="C35" s="83"/>
      <c r="D35" s="81" t="s">
        <v>59</v>
      </c>
      <c r="E35" s="81"/>
      <c r="F35" s="81"/>
      <c r="G35" s="81"/>
      <c r="H35" s="76">
        <v>1</v>
      </c>
      <c r="I35" s="115"/>
      <c r="J35" s="113">
        <v>57</v>
      </c>
      <c r="K35" s="115"/>
      <c r="L35" s="114">
        <f t="shared" si="2"/>
        <v>57</v>
      </c>
    </row>
    <row r="36" customHeight="1" spans="1:12">
      <c r="A36" s="90"/>
      <c r="B36" s="91"/>
      <c r="C36" s="83"/>
      <c r="D36" s="81" t="s">
        <v>60</v>
      </c>
      <c r="E36" s="81"/>
      <c r="F36" s="81"/>
      <c r="G36" s="81"/>
      <c r="H36" s="76">
        <v>1</v>
      </c>
      <c r="I36" s="115"/>
      <c r="J36" s="113">
        <v>63</v>
      </c>
      <c r="K36" s="115"/>
      <c r="L36" s="114">
        <f t="shared" si="2"/>
        <v>63</v>
      </c>
    </row>
    <row r="37" customHeight="1" spans="1:12">
      <c r="A37" s="90"/>
      <c r="B37" s="91"/>
      <c r="C37" s="83"/>
      <c r="D37" s="81" t="s">
        <v>61</v>
      </c>
      <c r="E37" s="81"/>
      <c r="F37" s="81"/>
      <c r="G37" s="81"/>
      <c r="H37" s="76">
        <v>1</v>
      </c>
      <c r="I37" s="115"/>
      <c r="J37" s="113">
        <v>26</v>
      </c>
      <c r="K37" s="115"/>
      <c r="L37" s="114">
        <f t="shared" si="2"/>
        <v>26</v>
      </c>
    </row>
    <row r="38" customHeight="1" spans="1:12">
      <c r="A38" s="90"/>
      <c r="B38" s="91"/>
      <c r="C38" s="83"/>
      <c r="D38" s="81" t="s">
        <v>62</v>
      </c>
      <c r="E38" s="81"/>
      <c r="F38" s="81"/>
      <c r="G38" s="81"/>
      <c r="H38" s="76">
        <v>1</v>
      </c>
      <c r="I38" s="115"/>
      <c r="J38" s="113">
        <v>31</v>
      </c>
      <c r="K38" s="115"/>
      <c r="L38" s="114">
        <f t="shared" si="2"/>
        <v>31</v>
      </c>
    </row>
    <row r="39" customHeight="1" spans="1:12">
      <c r="A39" s="90"/>
      <c r="B39" s="91"/>
      <c r="C39" s="83"/>
      <c r="D39" s="81" t="s">
        <v>63</v>
      </c>
      <c r="E39" s="81"/>
      <c r="F39" s="81"/>
      <c r="G39" s="81"/>
      <c r="H39" s="76">
        <v>1</v>
      </c>
      <c r="I39" s="115"/>
      <c r="J39" s="113">
        <v>78</v>
      </c>
      <c r="K39" s="115"/>
      <c r="L39" s="114">
        <f t="shared" si="2"/>
        <v>78</v>
      </c>
    </row>
    <row r="40" customHeight="1" spans="1:12">
      <c r="A40" s="90"/>
      <c r="B40" s="91"/>
      <c r="C40" s="83"/>
      <c r="D40" s="81" t="s">
        <v>64</v>
      </c>
      <c r="E40" s="81"/>
      <c r="F40" s="81"/>
      <c r="G40" s="81"/>
      <c r="H40" s="76">
        <v>1</v>
      </c>
      <c r="I40" s="115"/>
      <c r="J40" s="113">
        <v>155</v>
      </c>
      <c r="K40" s="115"/>
      <c r="L40" s="114">
        <f t="shared" si="2"/>
        <v>155</v>
      </c>
    </row>
    <row r="41" customHeight="1" spans="1:12">
      <c r="A41" s="90"/>
      <c r="B41" s="91"/>
      <c r="C41" s="83"/>
      <c r="D41" s="81" t="s">
        <v>65</v>
      </c>
      <c r="E41" s="81"/>
      <c r="F41" s="81"/>
      <c r="G41" s="81"/>
      <c r="H41" s="76">
        <v>1</v>
      </c>
      <c r="I41" s="115"/>
      <c r="J41" s="113">
        <v>52</v>
      </c>
      <c r="K41" s="115"/>
      <c r="L41" s="114">
        <f t="shared" si="2"/>
        <v>52</v>
      </c>
    </row>
    <row r="42" customHeight="1" spans="1:12">
      <c r="A42" s="90"/>
      <c r="B42" s="91"/>
      <c r="C42" s="83"/>
      <c r="D42" s="81" t="s">
        <v>66</v>
      </c>
      <c r="E42" s="81"/>
      <c r="F42" s="81"/>
      <c r="G42" s="81"/>
      <c r="H42" s="76">
        <v>1</v>
      </c>
      <c r="I42" s="115"/>
      <c r="J42" s="113">
        <v>21</v>
      </c>
      <c r="K42" s="115"/>
      <c r="L42" s="114">
        <f t="shared" si="2"/>
        <v>21</v>
      </c>
    </row>
    <row r="43" customHeight="1" spans="1:12">
      <c r="A43" s="90"/>
      <c r="B43" s="91"/>
      <c r="C43" s="83"/>
      <c r="D43" s="81" t="s">
        <v>67</v>
      </c>
      <c r="E43" s="81"/>
      <c r="F43" s="81"/>
      <c r="G43" s="81"/>
      <c r="H43" s="76">
        <v>1</v>
      </c>
      <c r="I43" s="115"/>
      <c r="J43" s="113">
        <v>10</v>
      </c>
      <c r="K43" s="115"/>
      <c r="L43" s="114">
        <f t="shared" si="2"/>
        <v>10</v>
      </c>
    </row>
    <row r="44" customHeight="1" spans="1:12">
      <c r="A44" s="90"/>
      <c r="B44" s="91"/>
      <c r="C44" s="83"/>
      <c r="D44" s="81" t="s">
        <v>68</v>
      </c>
      <c r="E44" s="81"/>
      <c r="F44" s="81"/>
      <c r="G44" s="81"/>
      <c r="H44" s="76">
        <v>2</v>
      </c>
      <c r="I44" s="115"/>
      <c r="J44" s="113">
        <v>82</v>
      </c>
      <c r="K44" s="115"/>
      <c r="L44" s="114">
        <f t="shared" si="2"/>
        <v>164</v>
      </c>
    </row>
    <row r="45" customHeight="1" spans="1:12">
      <c r="A45" s="90"/>
      <c r="B45" s="91"/>
      <c r="C45" s="83"/>
      <c r="D45" s="81" t="s">
        <v>69</v>
      </c>
      <c r="E45" s="81"/>
      <c r="F45" s="81"/>
      <c r="G45" s="81"/>
      <c r="H45" s="76">
        <v>2</v>
      </c>
      <c r="I45" s="115"/>
      <c r="J45" s="113">
        <v>56</v>
      </c>
      <c r="K45" s="115"/>
      <c r="L45" s="114">
        <f t="shared" si="2"/>
        <v>112</v>
      </c>
    </row>
    <row r="46" customHeight="1" spans="1:12">
      <c r="A46" s="90"/>
      <c r="B46" s="91"/>
      <c r="C46" s="83"/>
      <c r="D46" s="81" t="s">
        <v>70</v>
      </c>
      <c r="E46" s="81"/>
      <c r="F46" s="81"/>
      <c r="G46" s="81"/>
      <c r="H46" s="76">
        <v>1</v>
      </c>
      <c r="I46" s="115"/>
      <c r="J46" s="113">
        <v>2585</v>
      </c>
      <c r="K46" s="115"/>
      <c r="L46" s="114">
        <f t="shared" si="2"/>
        <v>2585</v>
      </c>
    </row>
    <row r="47" customHeight="1" spans="1:12">
      <c r="A47" s="90"/>
      <c r="B47" s="91"/>
      <c r="C47" s="83"/>
      <c r="D47" s="81" t="s">
        <v>71</v>
      </c>
      <c r="E47" s="81"/>
      <c r="F47" s="81"/>
      <c r="G47" s="81"/>
      <c r="H47" s="76">
        <v>4</v>
      </c>
      <c r="I47" s="115"/>
      <c r="J47" s="113">
        <v>302</v>
      </c>
      <c r="K47" s="115"/>
      <c r="L47" s="114">
        <f t="shared" si="2"/>
        <v>1208</v>
      </c>
    </row>
    <row r="48" customHeight="1" spans="1:12">
      <c r="A48" s="90"/>
      <c r="B48" s="91"/>
      <c r="C48" s="83"/>
      <c r="D48" s="81" t="s">
        <v>72</v>
      </c>
      <c r="E48" s="81"/>
      <c r="F48" s="81"/>
      <c r="G48" s="81"/>
      <c r="H48" s="76">
        <v>4</v>
      </c>
      <c r="I48" s="115"/>
      <c r="J48" s="113">
        <v>233</v>
      </c>
      <c r="K48" s="115"/>
      <c r="L48" s="114">
        <f t="shared" si="2"/>
        <v>932</v>
      </c>
    </row>
    <row r="49" customHeight="1" spans="1:12">
      <c r="A49" s="90"/>
      <c r="B49" s="91"/>
      <c r="C49" s="83"/>
      <c r="D49" s="81" t="s">
        <v>73</v>
      </c>
      <c r="E49" s="81"/>
      <c r="F49" s="81"/>
      <c r="G49" s="81"/>
      <c r="H49" s="76">
        <v>4</v>
      </c>
      <c r="I49" s="115"/>
      <c r="J49" s="113">
        <v>1266</v>
      </c>
      <c r="K49" s="115"/>
      <c r="L49" s="114">
        <f t="shared" si="2"/>
        <v>5064</v>
      </c>
    </row>
    <row r="50" customHeight="1" spans="1:12">
      <c r="A50" s="90"/>
      <c r="B50" s="91"/>
      <c r="C50" s="83"/>
      <c r="D50" s="81" t="s">
        <v>74</v>
      </c>
      <c r="E50" s="81"/>
      <c r="F50" s="81"/>
      <c r="G50" s="81"/>
      <c r="H50" s="76">
        <v>4</v>
      </c>
      <c r="I50" s="115"/>
      <c r="J50" s="113">
        <v>581</v>
      </c>
      <c r="K50" s="115"/>
      <c r="L50" s="114">
        <f t="shared" si="2"/>
        <v>2324</v>
      </c>
    </row>
    <row r="51" customHeight="1" spans="1:12">
      <c r="A51" s="90"/>
      <c r="B51" s="91"/>
      <c r="C51" s="83"/>
      <c r="D51" s="81" t="s">
        <v>75</v>
      </c>
      <c r="E51" s="81"/>
      <c r="F51" s="81"/>
      <c r="G51" s="81"/>
      <c r="H51" s="76">
        <v>5</v>
      </c>
      <c r="I51" s="115"/>
      <c r="J51" s="113">
        <v>136</v>
      </c>
      <c r="K51" s="115"/>
      <c r="L51" s="114">
        <f t="shared" si="2"/>
        <v>680</v>
      </c>
    </row>
    <row r="52" customHeight="1" spans="1:12">
      <c r="A52" s="90"/>
      <c r="B52" s="91"/>
      <c r="C52" s="83"/>
      <c r="D52" s="81" t="s">
        <v>76</v>
      </c>
      <c r="E52" s="81"/>
      <c r="F52" s="81"/>
      <c r="G52" s="81"/>
      <c r="H52" s="76">
        <v>2</v>
      </c>
      <c r="I52" s="83"/>
      <c r="J52" s="76">
        <v>82</v>
      </c>
      <c r="K52" s="83"/>
      <c r="L52" s="114">
        <f t="shared" si="2"/>
        <v>164</v>
      </c>
    </row>
    <row r="53" customHeight="1" spans="1:12">
      <c r="A53" s="90"/>
      <c r="B53" s="91"/>
      <c r="C53" s="83"/>
      <c r="D53" s="81" t="s">
        <v>77</v>
      </c>
      <c r="E53" s="81"/>
      <c r="F53" s="81"/>
      <c r="G53" s="81"/>
      <c r="H53" s="76">
        <v>2</v>
      </c>
      <c r="I53" s="115"/>
      <c r="J53" s="113">
        <v>45</v>
      </c>
      <c r="K53" s="115"/>
      <c r="L53" s="114">
        <f t="shared" si="2"/>
        <v>90</v>
      </c>
    </row>
    <row r="54" customHeight="1" spans="1:12">
      <c r="A54" s="90"/>
      <c r="B54" s="91"/>
      <c r="C54" s="83"/>
      <c r="D54" s="81" t="s">
        <v>78</v>
      </c>
      <c r="E54" s="81"/>
      <c r="F54" s="81"/>
      <c r="G54" s="81"/>
      <c r="H54" s="76">
        <v>2</v>
      </c>
      <c r="I54" s="115"/>
      <c r="J54" s="113">
        <v>65</v>
      </c>
      <c r="K54" s="115"/>
      <c r="L54" s="114">
        <f t="shared" si="2"/>
        <v>130</v>
      </c>
    </row>
    <row r="55" customHeight="1" spans="1:12">
      <c r="A55" s="90"/>
      <c r="B55" s="91"/>
      <c r="C55" s="83"/>
      <c r="D55" s="81" t="s">
        <v>79</v>
      </c>
      <c r="E55" s="81"/>
      <c r="F55" s="81"/>
      <c r="G55" s="81"/>
      <c r="H55" s="76">
        <v>4</v>
      </c>
      <c r="I55" s="115"/>
      <c r="J55" s="113">
        <v>1428</v>
      </c>
      <c r="K55" s="115"/>
      <c r="L55" s="114">
        <f t="shared" si="2"/>
        <v>5712</v>
      </c>
    </row>
    <row r="56" customHeight="1" spans="1:12">
      <c r="A56" s="90"/>
      <c r="B56" s="91"/>
      <c r="C56" s="83"/>
      <c r="D56" s="81" t="s">
        <v>80</v>
      </c>
      <c r="E56" s="81"/>
      <c r="F56" s="81"/>
      <c r="G56" s="81"/>
      <c r="H56" s="76">
        <v>2</v>
      </c>
      <c r="I56" s="115"/>
      <c r="J56" s="113">
        <v>295</v>
      </c>
      <c r="K56" s="115"/>
      <c r="L56" s="114">
        <f t="shared" si="2"/>
        <v>590</v>
      </c>
    </row>
    <row r="57" customHeight="1" spans="1:12">
      <c r="A57" s="90"/>
      <c r="B57" s="91"/>
      <c r="C57" s="83"/>
      <c r="D57" s="81" t="s">
        <v>81</v>
      </c>
      <c r="E57" s="81"/>
      <c r="F57" s="81"/>
      <c r="G57" s="81"/>
      <c r="H57" s="76">
        <v>2</v>
      </c>
      <c r="I57" s="83"/>
      <c r="J57" s="76">
        <v>27</v>
      </c>
      <c r="K57" s="83"/>
      <c r="L57" s="114">
        <f t="shared" si="2"/>
        <v>54</v>
      </c>
    </row>
    <row r="58" customHeight="1" spans="1:12">
      <c r="A58" s="90"/>
      <c r="B58" s="91"/>
      <c r="C58" s="83"/>
      <c r="D58" s="81" t="s">
        <v>82</v>
      </c>
      <c r="E58" s="81"/>
      <c r="F58" s="81"/>
      <c r="G58" s="81"/>
      <c r="H58" s="76">
        <v>2</v>
      </c>
      <c r="I58" s="115"/>
      <c r="J58" s="113">
        <v>25</v>
      </c>
      <c r="K58" s="115"/>
      <c r="L58" s="114">
        <f t="shared" si="2"/>
        <v>50</v>
      </c>
    </row>
    <row r="59" customHeight="1" spans="1:12">
      <c r="A59" s="94"/>
      <c r="B59" s="95"/>
      <c r="C59" s="96"/>
      <c r="D59" s="97" t="s">
        <v>83</v>
      </c>
      <c r="E59" s="97"/>
      <c r="F59" s="97"/>
      <c r="G59" s="97"/>
      <c r="H59" s="98">
        <v>1</v>
      </c>
      <c r="I59" s="96"/>
      <c r="J59" s="98">
        <v>2139</v>
      </c>
      <c r="K59" s="96"/>
      <c r="L59" s="116">
        <f t="shared" si="2"/>
        <v>2139</v>
      </c>
    </row>
    <row r="60" customHeight="1" spans="1:12">
      <c r="A60" s="79" t="s">
        <v>84</v>
      </c>
      <c r="B60" s="78"/>
      <c r="C60" s="79"/>
      <c r="D60" s="83"/>
      <c r="E60" s="83"/>
      <c r="F60" s="83"/>
      <c r="G60" s="83"/>
      <c r="H60" s="83">
        <f>SUM(H17:H59)</f>
        <v>102</v>
      </c>
      <c r="L60" s="117">
        <f>SUM(L17:L59)</f>
        <v>47698</v>
      </c>
    </row>
    <row r="61" customHeight="1" spans="1:12">
      <c r="A61" s="79"/>
      <c r="B61" s="78"/>
      <c r="C61" s="79"/>
      <c r="D61" s="81"/>
      <c r="E61" s="81"/>
      <c r="F61" s="81"/>
      <c r="G61" s="81"/>
      <c r="H61" s="118"/>
      <c r="I61" s="92"/>
      <c r="J61" s="119"/>
      <c r="K61" s="92"/>
      <c r="L61" s="119"/>
    </row>
    <row r="62" customHeight="1" spans="1:12">
      <c r="A62" s="79"/>
      <c r="B62" s="78"/>
      <c r="C62" s="79"/>
      <c r="D62" s="81"/>
      <c r="E62" s="81"/>
      <c r="F62" s="81"/>
      <c r="G62" s="81"/>
      <c r="H62" s="83"/>
      <c r="I62" s="83"/>
      <c r="J62" s="76"/>
      <c r="K62" s="83"/>
      <c r="L62" s="120"/>
    </row>
    <row r="63" customHeight="1" spans="1:12">
      <c r="A63" s="79"/>
      <c r="B63" s="78"/>
      <c r="C63" s="79"/>
      <c r="D63" s="83"/>
      <c r="E63" s="83"/>
      <c r="F63" s="83"/>
      <c r="G63" s="83"/>
      <c r="H63" s="83"/>
      <c r="I63" s="83"/>
      <c r="J63" s="83"/>
      <c r="K63" s="83"/>
      <c r="L63" s="120"/>
    </row>
    <row r="64" customHeight="1" spans="1:12">
      <c r="E64" s="121"/>
      <c r="L64" s="79"/>
    </row>
  </sheetData>
  <mergeCells count="70">
    <mergeCell ref="A1:L1"/>
    <mergeCell ref="A2:L2"/>
    <mergeCell ref="G3:J3"/>
    <mergeCell ref="K3:L3"/>
    <mergeCell ref="A4:F4"/>
    <mergeCell ref="G4:J4"/>
    <mergeCell ref="A5:F5"/>
    <mergeCell ref="G5:J5"/>
    <mergeCell ref="A6:F6"/>
    <mergeCell ref="A7:F7"/>
    <mergeCell ref="G8:L8"/>
    <mergeCell ref="A10:F10"/>
    <mergeCell ref="K10:L10"/>
    <mergeCell ref="A11:F11"/>
    <mergeCell ref="A12:F12"/>
    <mergeCell ref="K12:L12"/>
    <mergeCell ref="A13:F13"/>
    <mergeCell ref="A14:F14"/>
    <mergeCell ref="G14:L14"/>
    <mergeCell ref="D15:G15"/>
    <mergeCell ref="J15:K15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D57:G57"/>
    <mergeCell ref="D58:G58"/>
    <mergeCell ref="D59:G59"/>
    <mergeCell ref="D61:G61"/>
    <mergeCell ref="D62:G62"/>
    <mergeCell ref="A15:A16"/>
    <mergeCell ref="L15:L16"/>
    <mergeCell ref="B15:C16"/>
    <mergeCell ref="G11:J13"/>
  </mergeCells>
  <hyperlinks>
    <hyperlink ref="A6" r:id="rId1" display="1-812-221-7098"/>
    <hyperlink ref="A13" r:id="rId2" display="EMAIL:DYLAN@ZHWII.COM" tooltip="mailto:xielj@usaatspower.com"/>
    <hyperlink ref="A7" r:id="rId3" display="damauctionco@gmail.com" tooltip="mailto:damauctionco@gmail.com"/>
  </hyperlinks>
  <pageMargins left="0.16875" right="0.109027777777778" top="1" bottom="0.529166666666667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0"/>
  <sheetViews>
    <sheetView tabSelected="1" workbookViewId="0">
      <selection activeCell="A3" sqref="A3:L14"/>
    </sheetView>
  </sheetViews>
  <sheetFormatPr defaultColWidth="9" defaultRowHeight="21.75" customHeight="1"/>
  <cols>
    <col min="1" max="1" width="6.33333333333333" style="2" customWidth="1"/>
    <col min="2" max="2" width="4.58333333333333" style="2" customWidth="1"/>
    <col min="3" max="3" width="7.5" style="3" customWidth="1"/>
    <col min="4" max="5" width="6.5" style="3" customWidth="1"/>
    <col min="6" max="6" width="13.0666666666667" style="3" customWidth="1"/>
    <col min="7" max="7" width="19.375" style="3" customWidth="1"/>
    <col min="8" max="8" width="9.875" style="3" customWidth="1"/>
    <col min="9" max="9" width="6.75" style="3" customWidth="1"/>
    <col min="10" max="10" width="9" style="3" customWidth="1"/>
    <col min="11" max="11" width="9.08333333333333" style="2" customWidth="1"/>
    <col min="12" max="12" width="12.625" style="3" customWidth="1"/>
    <col min="13" max="221" width="9.58333333333333" style="3" customWidth="1"/>
    <col min="222" max="16384" width="9" style="3"/>
  </cols>
  <sheetData>
    <row r="1" ht="30" customHeight="1" spans="1:17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Q1" s="3" t="s">
        <v>85</v>
      </c>
    </row>
    <row r="2" ht="29.25" customHeight="1" spans="1:17">
      <c r="A2" s="5" t="s">
        <v>86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="1" customFormat="1" ht="18" customHeight="1" spans="1:17">
      <c r="A3" s="6" t="s">
        <v>1</v>
      </c>
      <c r="B3" s="7"/>
      <c r="C3" s="8"/>
      <c r="D3" s="8"/>
      <c r="E3" s="8"/>
      <c r="F3" s="8"/>
      <c r="G3" s="9" t="s">
        <v>2</v>
      </c>
      <c r="H3" s="10"/>
      <c r="I3" s="10"/>
      <c r="J3" s="10"/>
      <c r="K3" s="6" t="s">
        <v>3</v>
      </c>
      <c r="L3" s="11"/>
    </row>
    <row r="4" s="1" customFormat="1" ht="18" customHeight="1" spans="1:17">
      <c r="A4" s="12" t="s">
        <v>4</v>
      </c>
      <c r="B4" s="13"/>
      <c r="C4" s="13"/>
      <c r="D4" s="13"/>
      <c r="E4" s="13"/>
      <c r="F4" s="13"/>
      <c r="G4" s="14"/>
      <c r="H4" s="15"/>
      <c r="I4" s="15"/>
      <c r="J4" s="15"/>
      <c r="K4" s="16" t="s">
        <v>5</v>
      </c>
      <c r="L4" s="17">
        <v>46050</v>
      </c>
    </row>
    <row r="5" s="1" customFormat="1" ht="17" customHeight="1" spans="1:17">
      <c r="A5" s="18" t="s">
        <v>6</v>
      </c>
      <c r="B5" s="13"/>
      <c r="C5" s="13"/>
      <c r="D5" s="13"/>
      <c r="E5" s="13"/>
      <c r="F5" s="13"/>
      <c r="G5" s="19" t="s">
        <v>7</v>
      </c>
      <c r="H5" s="20"/>
      <c r="I5" s="20"/>
      <c r="J5" s="20"/>
      <c r="K5" s="12" t="s">
        <v>8</v>
      </c>
      <c r="L5" s="17">
        <v>46056</v>
      </c>
    </row>
    <row r="6" s="1" customFormat="1" ht="18" customHeight="1" spans="1:17">
      <c r="A6" s="18" t="s">
        <v>9</v>
      </c>
      <c r="B6" s="13"/>
      <c r="C6" s="13"/>
      <c r="D6" s="13"/>
      <c r="E6" s="13"/>
      <c r="F6" s="13"/>
      <c r="G6" s="21" t="s">
        <v>10</v>
      </c>
      <c r="H6" s="22"/>
      <c r="I6" s="23"/>
      <c r="J6" s="24"/>
      <c r="K6" s="25" t="s">
        <v>11</v>
      </c>
      <c r="L6" s="26">
        <v>46081</v>
      </c>
    </row>
    <row r="7" s="1" customFormat="1" ht="18" customHeight="1" spans="1:17">
      <c r="A7" s="18" t="s">
        <v>12</v>
      </c>
      <c r="B7" s="13"/>
      <c r="C7" s="13"/>
      <c r="D7" s="13"/>
      <c r="E7" s="13"/>
      <c r="F7" s="13"/>
      <c r="G7" s="14" t="s">
        <v>13</v>
      </c>
      <c r="H7" s="27"/>
      <c r="I7" s="27"/>
      <c r="J7" s="27"/>
      <c r="K7" s="15"/>
      <c r="L7" s="28" t="s">
        <v>14</v>
      </c>
    </row>
    <row r="8" s="1" customFormat="1" ht="16.5" customHeight="1" spans="1:17">
      <c r="A8" s="29"/>
      <c r="B8" s="30"/>
      <c r="C8" s="31"/>
      <c r="D8" s="31"/>
      <c r="E8" s="31"/>
      <c r="F8" s="31"/>
      <c r="G8" s="25"/>
      <c r="H8" s="32"/>
      <c r="I8" s="32"/>
      <c r="J8" s="32"/>
      <c r="K8" s="32"/>
      <c r="L8" s="33"/>
    </row>
    <row r="9" s="1" customFormat="1" ht="18" customHeight="1" spans="1:17">
      <c r="A9" s="9" t="s">
        <v>15</v>
      </c>
      <c r="B9" s="10"/>
      <c r="C9" s="34"/>
      <c r="D9" s="34"/>
      <c r="E9" s="34"/>
      <c r="F9" s="35"/>
      <c r="G9" s="10" t="s">
        <v>16</v>
      </c>
      <c r="H9" s="34"/>
      <c r="I9" s="34"/>
      <c r="J9" s="35"/>
      <c r="K9" s="9" t="s">
        <v>17</v>
      </c>
      <c r="L9" s="35"/>
    </row>
    <row r="10" s="1" customFormat="1" ht="18" customHeight="1" spans="1:17">
      <c r="A10" s="14" t="s">
        <v>18</v>
      </c>
      <c r="B10" s="36"/>
      <c r="C10" s="36"/>
      <c r="D10" s="36"/>
      <c r="E10" s="36"/>
      <c r="F10" s="37"/>
      <c r="G10" s="15" t="s">
        <v>19</v>
      </c>
      <c r="H10" s="27"/>
      <c r="I10" s="27"/>
      <c r="J10" s="38"/>
      <c r="K10" s="39" t="s">
        <v>20</v>
      </c>
      <c r="L10" s="39"/>
    </row>
    <row r="11" s="1" customFormat="1" ht="18" customHeight="1" spans="1:17">
      <c r="A11" s="14" t="s">
        <v>21</v>
      </c>
      <c r="B11" s="36"/>
      <c r="C11" s="36"/>
      <c r="D11" s="36"/>
      <c r="E11" s="36"/>
      <c r="F11" s="37"/>
      <c r="G11" s="40" t="s">
        <v>22</v>
      </c>
      <c r="H11" s="40"/>
      <c r="I11" s="40"/>
      <c r="J11" s="41"/>
      <c r="K11" s="14" t="s">
        <v>23</v>
      </c>
      <c r="L11" s="38"/>
    </row>
    <row r="12" s="1" customFormat="1" ht="18" customHeight="1" spans="1:17">
      <c r="A12" s="14" t="s">
        <v>24</v>
      </c>
      <c r="B12" s="36"/>
      <c r="C12" s="36"/>
      <c r="D12" s="36"/>
      <c r="E12" s="36"/>
      <c r="F12" s="37"/>
      <c r="G12" s="42"/>
      <c r="H12" s="42"/>
      <c r="I12" s="42"/>
      <c r="J12" s="43"/>
      <c r="K12" s="44" t="s">
        <v>25</v>
      </c>
      <c r="L12" s="45"/>
    </row>
    <row r="13" s="1" customFormat="1" ht="18" customHeight="1" spans="1:17">
      <c r="A13" s="14" t="s">
        <v>26</v>
      </c>
      <c r="B13" s="36"/>
      <c r="C13" s="36"/>
      <c r="D13" s="36"/>
      <c r="E13" s="36"/>
      <c r="F13" s="37"/>
      <c r="G13" s="42"/>
      <c r="H13" s="42"/>
      <c r="I13" s="42"/>
      <c r="J13" s="43"/>
      <c r="K13" s="14" t="s">
        <v>27</v>
      </c>
      <c r="L13" s="38"/>
    </row>
    <row r="14" s="1" customFormat="1" ht="43" customHeight="1" spans="1:17">
      <c r="A14" s="14"/>
      <c r="B14" s="36"/>
      <c r="C14" s="36"/>
      <c r="D14" s="36"/>
      <c r="E14" s="36"/>
      <c r="F14" s="37"/>
      <c r="G14" s="46" t="s">
        <v>28</v>
      </c>
      <c r="H14" s="46"/>
      <c r="I14" s="46"/>
      <c r="J14" s="46"/>
      <c r="K14" s="46"/>
      <c r="L14" s="47"/>
    </row>
    <row r="15" s="1" customFormat="1" ht="18" customHeight="1" spans="1:17">
      <c r="A15" s="48" t="s">
        <v>29</v>
      </c>
      <c r="B15" s="34" t="s">
        <v>30</v>
      </c>
      <c r="C15" s="34"/>
      <c r="D15" s="34" t="s">
        <v>87</v>
      </c>
      <c r="E15" s="34"/>
      <c r="F15" s="34"/>
      <c r="G15" s="34"/>
      <c r="H15" s="34" t="s">
        <v>32</v>
      </c>
      <c r="I15" s="34" t="s">
        <v>88</v>
      </c>
      <c r="J15" s="34" t="s">
        <v>89</v>
      </c>
      <c r="K15" s="10" t="s">
        <v>90</v>
      </c>
      <c r="L15" s="35" t="s">
        <v>91</v>
      </c>
    </row>
    <row r="16" s="1" customFormat="1" ht="18" customHeight="1" spans="1:17">
      <c r="A16" s="49"/>
      <c r="B16" s="27"/>
      <c r="C16" s="27"/>
      <c r="D16" s="27"/>
      <c r="E16" s="27"/>
      <c r="F16" s="27"/>
      <c r="G16" s="27"/>
      <c r="H16" s="27" t="s">
        <v>36</v>
      </c>
      <c r="I16" s="50" t="s">
        <v>92</v>
      </c>
      <c r="J16" s="27" t="s">
        <v>33</v>
      </c>
      <c r="K16" s="15" t="s">
        <v>33</v>
      </c>
      <c r="L16" s="38" t="s">
        <v>93</v>
      </c>
    </row>
    <row r="17" customHeight="1" spans="1:12">
      <c r="A17" s="51" t="s">
        <v>40</v>
      </c>
      <c r="B17" s="52"/>
      <c r="C17" s="53"/>
      <c r="D17" s="54" t="s">
        <v>41</v>
      </c>
      <c r="E17" s="54"/>
      <c r="F17" s="54"/>
      <c r="G17" s="54"/>
      <c r="H17" s="55">
        <v>3</v>
      </c>
      <c r="I17" s="56"/>
      <c r="J17" s="57"/>
      <c r="K17" s="58">
        <v>1035</v>
      </c>
      <c r="L17" s="59"/>
    </row>
    <row r="18" customHeight="1" spans="1:12">
      <c r="A18" s="60"/>
      <c r="B18" s="61"/>
      <c r="C18" s="62"/>
      <c r="D18" s="63" t="s">
        <v>42</v>
      </c>
      <c r="E18" s="63"/>
      <c r="F18" s="63"/>
      <c r="G18" s="63"/>
      <c r="H18" s="64">
        <v>2</v>
      </c>
      <c r="I18" s="65"/>
      <c r="J18" s="66"/>
      <c r="K18" s="67">
        <v>50</v>
      </c>
      <c r="L18" s="68"/>
    </row>
    <row r="19" customHeight="1" spans="1:12">
      <c r="A19" s="69"/>
      <c r="B19" s="70"/>
      <c r="C19" s="71"/>
      <c r="D19" s="63" t="s">
        <v>43</v>
      </c>
      <c r="E19" s="63"/>
      <c r="F19" s="63"/>
      <c r="G19" s="63"/>
      <c r="H19" s="72">
        <v>10</v>
      </c>
      <c r="I19" s="73"/>
      <c r="J19" s="74"/>
      <c r="K19" s="67">
        <v>250</v>
      </c>
      <c r="L19" s="75"/>
    </row>
    <row r="20" customHeight="1" spans="1:12">
      <c r="A20" s="69"/>
      <c r="B20" s="70"/>
      <c r="C20" s="71"/>
      <c r="D20" s="63" t="s">
        <v>44</v>
      </c>
      <c r="E20" s="63"/>
      <c r="F20" s="63"/>
      <c r="G20" s="63"/>
      <c r="H20" s="76">
        <v>2</v>
      </c>
      <c r="I20" s="73"/>
      <c r="J20" s="74"/>
      <c r="K20" s="67">
        <v>940</v>
      </c>
      <c r="L20" s="75"/>
    </row>
    <row r="21" customHeight="1" spans="1:12">
      <c r="A21" s="77"/>
      <c r="B21" s="78"/>
      <c r="C21" s="79"/>
      <c r="D21" s="80" t="s">
        <v>45</v>
      </c>
      <c r="E21" s="81"/>
      <c r="F21" s="81"/>
      <c r="G21" s="82"/>
      <c r="H21" s="76">
        <v>2</v>
      </c>
      <c r="I21" s="83"/>
      <c r="J21" s="83"/>
      <c r="K21" s="67">
        <v>1814</v>
      </c>
      <c r="L21" s="84"/>
    </row>
    <row r="22" customHeight="1" spans="1:12">
      <c r="A22" s="60"/>
      <c r="B22" s="61"/>
      <c r="C22" s="62"/>
      <c r="D22" s="85" t="s">
        <v>46</v>
      </c>
      <c r="E22" s="86"/>
      <c r="F22" s="86"/>
      <c r="G22" s="87"/>
      <c r="H22" s="76">
        <v>2</v>
      </c>
      <c r="I22" s="88"/>
      <c r="J22" s="72"/>
      <c r="K22" s="67">
        <v>28</v>
      </c>
      <c r="L22" s="89"/>
    </row>
    <row r="23" customHeight="1" spans="1:12">
      <c r="A23" s="60"/>
      <c r="B23" s="61"/>
      <c r="C23" s="62"/>
      <c r="D23" s="85" t="s">
        <v>47</v>
      </c>
      <c r="E23" s="86"/>
      <c r="F23" s="86"/>
      <c r="G23" s="87"/>
      <c r="H23" s="76">
        <v>2</v>
      </c>
      <c r="I23" s="88"/>
      <c r="J23" s="72"/>
      <c r="K23" s="67">
        <v>444</v>
      </c>
      <c r="L23" s="89"/>
    </row>
    <row r="24" customHeight="1" spans="1:12">
      <c r="A24" s="60"/>
      <c r="B24" s="61"/>
      <c r="C24" s="62"/>
      <c r="D24" s="85" t="s">
        <v>48</v>
      </c>
      <c r="E24" s="86"/>
      <c r="F24" s="86"/>
      <c r="G24" s="87"/>
      <c r="H24" s="76">
        <v>2</v>
      </c>
      <c r="I24" s="88"/>
      <c r="J24" s="72"/>
      <c r="K24" s="67">
        <v>24</v>
      </c>
      <c r="L24" s="89"/>
    </row>
    <row r="25" customHeight="1" spans="1:12">
      <c r="A25" s="60"/>
      <c r="B25" s="61"/>
      <c r="C25" s="62"/>
      <c r="D25" s="85" t="s">
        <v>49</v>
      </c>
      <c r="E25" s="86"/>
      <c r="F25" s="86"/>
      <c r="G25" s="87"/>
      <c r="H25" s="76">
        <v>8</v>
      </c>
      <c r="I25" s="88"/>
      <c r="J25" s="72"/>
      <c r="K25" s="67">
        <v>2314</v>
      </c>
      <c r="L25" s="89"/>
    </row>
    <row r="26" customHeight="1" spans="1:12">
      <c r="A26" s="90"/>
      <c r="B26" s="91"/>
      <c r="C26" s="83"/>
      <c r="D26" s="81" t="s">
        <v>50</v>
      </c>
      <c r="E26" s="81"/>
      <c r="F26" s="81"/>
      <c r="G26" s="81"/>
      <c r="H26" s="76">
        <v>2</v>
      </c>
      <c r="I26" s="92"/>
      <c r="J26" s="76"/>
      <c r="K26" s="67">
        <v>490</v>
      </c>
      <c r="L26" s="93"/>
    </row>
    <row r="27" customHeight="1" spans="1:12">
      <c r="A27" s="90"/>
      <c r="B27" s="91"/>
      <c r="C27" s="83"/>
      <c r="D27" s="81" t="s">
        <v>51</v>
      </c>
      <c r="E27" s="81"/>
      <c r="F27" s="81"/>
      <c r="G27" s="81"/>
      <c r="H27" s="76">
        <v>3</v>
      </c>
      <c r="I27" s="92"/>
      <c r="J27" s="76"/>
      <c r="K27" s="67">
        <v>306</v>
      </c>
      <c r="L27" s="93"/>
    </row>
    <row r="28" customHeight="1" spans="1:12">
      <c r="A28" s="90"/>
      <c r="B28" s="91"/>
      <c r="C28" s="83"/>
      <c r="D28" s="81" t="s">
        <v>52</v>
      </c>
      <c r="E28" s="81"/>
      <c r="F28" s="81"/>
      <c r="G28" s="81"/>
      <c r="H28" s="76">
        <v>3</v>
      </c>
      <c r="I28" s="92"/>
      <c r="J28" s="76"/>
      <c r="K28" s="67">
        <v>375</v>
      </c>
      <c r="L28" s="93"/>
    </row>
    <row r="29" customHeight="1" spans="1:12">
      <c r="A29" s="90"/>
      <c r="B29" s="91"/>
      <c r="C29" s="83"/>
      <c r="D29" s="81" t="s">
        <v>53</v>
      </c>
      <c r="E29" s="81"/>
      <c r="F29" s="81"/>
      <c r="G29" s="81"/>
      <c r="H29" s="76">
        <v>3</v>
      </c>
      <c r="I29" s="92"/>
      <c r="J29" s="76"/>
      <c r="K29" s="67">
        <v>315</v>
      </c>
      <c r="L29" s="93"/>
    </row>
    <row r="30" customHeight="1" spans="1:12">
      <c r="A30" s="90"/>
      <c r="B30" s="91"/>
      <c r="C30" s="83"/>
      <c r="D30" s="81" t="s">
        <v>54</v>
      </c>
      <c r="E30" s="81"/>
      <c r="F30" s="81"/>
      <c r="G30" s="81"/>
      <c r="H30" s="76">
        <v>1</v>
      </c>
      <c r="I30" s="92"/>
      <c r="J30" s="76"/>
      <c r="K30" s="67">
        <v>330</v>
      </c>
      <c r="L30" s="93"/>
    </row>
    <row r="31" customHeight="1" spans="1:12">
      <c r="A31" s="90"/>
      <c r="B31" s="91"/>
      <c r="C31" s="83"/>
      <c r="D31" s="81" t="s">
        <v>55</v>
      </c>
      <c r="E31" s="81"/>
      <c r="F31" s="81"/>
      <c r="G31" s="81"/>
      <c r="H31" s="76">
        <v>1</v>
      </c>
      <c r="I31" s="92"/>
      <c r="J31" s="76"/>
      <c r="K31" s="67">
        <v>250</v>
      </c>
      <c r="L31" s="93"/>
    </row>
    <row r="32" customHeight="1" spans="1:12">
      <c r="A32" s="90"/>
      <c r="B32" s="91"/>
      <c r="C32" s="83"/>
      <c r="D32" s="81" t="s">
        <v>56</v>
      </c>
      <c r="E32" s="81"/>
      <c r="F32" s="81"/>
      <c r="G32" s="81"/>
      <c r="H32" s="76">
        <v>1</v>
      </c>
      <c r="I32" s="92"/>
      <c r="J32" s="76"/>
      <c r="K32" s="67">
        <v>454</v>
      </c>
      <c r="L32" s="93"/>
    </row>
    <row r="33" customHeight="1" spans="1:12">
      <c r="A33" s="90"/>
      <c r="B33" s="91"/>
      <c r="C33" s="83"/>
      <c r="D33" s="81" t="s">
        <v>57</v>
      </c>
      <c r="E33" s="81"/>
      <c r="F33" s="81"/>
      <c r="G33" s="81"/>
      <c r="H33" s="76">
        <v>2</v>
      </c>
      <c r="I33" s="92"/>
      <c r="J33" s="76"/>
      <c r="K33" s="67">
        <v>100</v>
      </c>
      <c r="L33" s="93"/>
    </row>
    <row r="34" customHeight="1" spans="1:12">
      <c r="A34" s="90"/>
      <c r="B34" s="91"/>
      <c r="C34" s="83"/>
      <c r="D34" s="81" t="s">
        <v>58</v>
      </c>
      <c r="E34" s="81"/>
      <c r="F34" s="81"/>
      <c r="G34" s="81"/>
      <c r="H34" s="76">
        <v>1</v>
      </c>
      <c r="I34" s="92"/>
      <c r="J34" s="76"/>
      <c r="K34" s="67">
        <v>15</v>
      </c>
      <c r="L34" s="93"/>
    </row>
    <row r="35" customHeight="1" spans="1:12">
      <c r="A35" s="90"/>
      <c r="B35" s="91"/>
      <c r="C35" s="83"/>
      <c r="D35" s="81" t="s">
        <v>59</v>
      </c>
      <c r="E35" s="81"/>
      <c r="F35" s="81"/>
      <c r="G35" s="81"/>
      <c r="H35" s="76">
        <v>1</v>
      </c>
      <c r="I35" s="92"/>
      <c r="J35" s="76"/>
      <c r="K35" s="67">
        <v>20</v>
      </c>
      <c r="L35" s="93"/>
    </row>
    <row r="36" customHeight="1" spans="1:12">
      <c r="A36" s="90"/>
      <c r="B36" s="91"/>
      <c r="C36" s="83"/>
      <c r="D36" s="81" t="s">
        <v>60</v>
      </c>
      <c r="E36" s="81"/>
      <c r="F36" s="81"/>
      <c r="G36" s="81"/>
      <c r="H36" s="76">
        <v>1</v>
      </c>
      <c r="I36" s="92"/>
      <c r="J36" s="76"/>
      <c r="K36" s="67">
        <v>25</v>
      </c>
      <c r="L36" s="93"/>
    </row>
    <row r="37" customHeight="1" spans="1:12">
      <c r="A37" s="90"/>
      <c r="B37" s="91"/>
      <c r="C37" s="83"/>
      <c r="D37" s="81" t="s">
        <v>61</v>
      </c>
      <c r="E37" s="81"/>
      <c r="F37" s="81"/>
      <c r="G37" s="81"/>
      <c r="H37" s="76">
        <v>1</v>
      </c>
      <c r="I37" s="92"/>
      <c r="J37" s="76"/>
      <c r="K37" s="67">
        <v>10</v>
      </c>
      <c r="L37" s="93"/>
    </row>
    <row r="38" customHeight="1" spans="1:12">
      <c r="A38" s="90"/>
      <c r="B38" s="91"/>
      <c r="C38" s="83"/>
      <c r="D38" s="81" t="s">
        <v>62</v>
      </c>
      <c r="E38" s="81"/>
      <c r="F38" s="81"/>
      <c r="G38" s="81"/>
      <c r="H38" s="76">
        <v>1</v>
      </c>
      <c r="I38" s="92"/>
      <c r="J38" s="76"/>
      <c r="K38" s="67">
        <v>15</v>
      </c>
      <c r="L38" s="93"/>
    </row>
    <row r="39" customHeight="1" spans="1:12">
      <c r="A39" s="90"/>
      <c r="B39" s="91"/>
      <c r="C39" s="83"/>
      <c r="D39" s="81" t="s">
        <v>63</v>
      </c>
      <c r="E39" s="81"/>
      <c r="F39" s="81"/>
      <c r="G39" s="81"/>
      <c r="H39" s="76">
        <v>1</v>
      </c>
      <c r="I39" s="92"/>
      <c r="J39" s="76"/>
      <c r="K39" s="67">
        <v>25</v>
      </c>
      <c r="L39" s="93"/>
    </row>
    <row r="40" customHeight="1" spans="1:12">
      <c r="A40" s="90"/>
      <c r="B40" s="91"/>
      <c r="C40" s="83"/>
      <c r="D40" s="81" t="s">
        <v>64</v>
      </c>
      <c r="E40" s="81"/>
      <c r="F40" s="81"/>
      <c r="G40" s="81"/>
      <c r="H40" s="76">
        <v>1</v>
      </c>
      <c r="I40" s="92"/>
      <c r="J40" s="76"/>
      <c r="K40" s="67">
        <v>45</v>
      </c>
      <c r="L40" s="93"/>
    </row>
    <row r="41" customHeight="1" spans="1:12">
      <c r="A41" s="90"/>
      <c r="B41" s="91"/>
      <c r="C41" s="83"/>
      <c r="D41" s="81" t="s">
        <v>65</v>
      </c>
      <c r="E41" s="81"/>
      <c r="F41" s="81"/>
      <c r="G41" s="81"/>
      <c r="H41" s="76">
        <v>1</v>
      </c>
      <c r="I41" s="92"/>
      <c r="J41" s="76"/>
      <c r="K41" s="67">
        <v>10</v>
      </c>
      <c r="L41" s="93"/>
    </row>
    <row r="42" customHeight="1" spans="1:12">
      <c r="A42" s="90"/>
      <c r="B42" s="91"/>
      <c r="C42" s="83"/>
      <c r="D42" s="81" t="s">
        <v>66</v>
      </c>
      <c r="E42" s="81"/>
      <c r="F42" s="81"/>
      <c r="G42" s="81"/>
      <c r="H42" s="76">
        <v>1</v>
      </c>
      <c r="I42" s="92"/>
      <c r="J42" s="76"/>
      <c r="K42" s="67">
        <v>10</v>
      </c>
      <c r="L42" s="93"/>
    </row>
    <row r="43" customHeight="1" spans="1:12">
      <c r="A43" s="90"/>
      <c r="B43" s="91"/>
      <c r="C43" s="83"/>
      <c r="D43" s="81" t="s">
        <v>67</v>
      </c>
      <c r="E43" s="81"/>
      <c r="F43" s="81"/>
      <c r="G43" s="81"/>
      <c r="H43" s="76">
        <v>1</v>
      </c>
      <c r="I43" s="92"/>
      <c r="J43" s="76"/>
      <c r="K43" s="67">
        <v>10</v>
      </c>
      <c r="L43" s="93"/>
    </row>
    <row r="44" customHeight="1" spans="1:12">
      <c r="A44" s="90"/>
      <c r="B44" s="91"/>
      <c r="C44" s="83"/>
      <c r="D44" s="81" t="s">
        <v>68</v>
      </c>
      <c r="E44" s="81"/>
      <c r="F44" s="81"/>
      <c r="G44" s="81"/>
      <c r="H44" s="76">
        <v>2</v>
      </c>
      <c r="I44" s="92"/>
      <c r="J44" s="76"/>
      <c r="K44" s="67">
        <v>122</v>
      </c>
      <c r="L44" s="93"/>
    </row>
    <row r="45" customHeight="1" spans="1:12">
      <c r="A45" s="90"/>
      <c r="B45" s="91"/>
      <c r="C45" s="83"/>
      <c r="D45" s="81" t="s">
        <v>69</v>
      </c>
      <c r="E45" s="81"/>
      <c r="F45" s="81"/>
      <c r="G45" s="81"/>
      <c r="H45" s="76">
        <v>2</v>
      </c>
      <c r="I45" s="92"/>
      <c r="J45" s="76"/>
      <c r="K45" s="67">
        <v>46</v>
      </c>
      <c r="L45" s="93"/>
    </row>
    <row r="46" customHeight="1" spans="1:12">
      <c r="A46" s="90"/>
      <c r="B46" s="91"/>
      <c r="C46" s="83"/>
      <c r="D46" s="81" t="s">
        <v>70</v>
      </c>
      <c r="E46" s="81"/>
      <c r="F46" s="81"/>
      <c r="G46" s="81"/>
      <c r="H46" s="76">
        <v>1</v>
      </c>
      <c r="I46" s="92"/>
      <c r="J46" s="76"/>
      <c r="K46" s="67">
        <v>1072</v>
      </c>
      <c r="L46" s="93"/>
    </row>
    <row r="47" customHeight="1" spans="1:12">
      <c r="A47" s="90"/>
      <c r="B47" s="91"/>
      <c r="C47" s="83"/>
      <c r="D47" s="81" t="s">
        <v>71</v>
      </c>
      <c r="E47" s="81"/>
      <c r="F47" s="81"/>
      <c r="G47" s="81"/>
      <c r="H47" s="76">
        <v>4</v>
      </c>
      <c r="I47" s="92"/>
      <c r="J47" s="76"/>
      <c r="K47" s="67">
        <v>380</v>
      </c>
      <c r="L47" s="93"/>
    </row>
    <row r="48" customHeight="1" spans="1:12">
      <c r="A48" s="90"/>
      <c r="B48" s="91"/>
      <c r="C48" s="83"/>
      <c r="D48" s="81" t="s">
        <v>72</v>
      </c>
      <c r="E48" s="81"/>
      <c r="F48" s="81"/>
      <c r="G48" s="81"/>
      <c r="H48" s="76">
        <v>4</v>
      </c>
      <c r="I48" s="92"/>
      <c r="J48" s="76"/>
      <c r="K48" s="67">
        <v>480</v>
      </c>
      <c r="L48" s="93"/>
    </row>
    <row r="49" customHeight="1" spans="1:12">
      <c r="A49" s="90"/>
      <c r="B49" s="91"/>
      <c r="C49" s="83"/>
      <c r="D49" s="81" t="s">
        <v>73</v>
      </c>
      <c r="E49" s="81"/>
      <c r="F49" s="81"/>
      <c r="G49" s="81"/>
      <c r="H49" s="76">
        <v>4</v>
      </c>
      <c r="I49" s="92"/>
      <c r="J49" s="76"/>
      <c r="K49" s="67">
        <v>2032</v>
      </c>
      <c r="L49" s="93"/>
    </row>
    <row r="50" customHeight="1" spans="1:12">
      <c r="A50" s="90"/>
      <c r="B50" s="91"/>
      <c r="C50" s="83"/>
      <c r="D50" s="81" t="s">
        <v>74</v>
      </c>
      <c r="E50" s="81"/>
      <c r="F50" s="81"/>
      <c r="G50" s="81"/>
      <c r="H50" s="76">
        <v>4</v>
      </c>
      <c r="I50" s="92"/>
      <c r="J50" s="76"/>
      <c r="K50" s="67">
        <v>920</v>
      </c>
      <c r="L50" s="93"/>
    </row>
    <row r="51" customHeight="1" spans="1:12">
      <c r="A51" s="90"/>
      <c r="B51" s="91"/>
      <c r="C51" s="83"/>
      <c r="D51" s="81" t="s">
        <v>75</v>
      </c>
      <c r="E51" s="81"/>
      <c r="F51" s="81"/>
      <c r="G51" s="81"/>
      <c r="H51" s="76">
        <v>5</v>
      </c>
      <c r="I51" s="92"/>
      <c r="J51" s="76"/>
      <c r="K51" s="67">
        <v>35</v>
      </c>
      <c r="L51" s="93"/>
    </row>
    <row r="52" customHeight="1" spans="1:12">
      <c r="A52" s="90"/>
      <c r="B52" s="91"/>
      <c r="C52" s="83"/>
      <c r="D52" s="81" t="s">
        <v>76</v>
      </c>
      <c r="E52" s="81"/>
      <c r="F52" s="81"/>
      <c r="G52" s="81"/>
      <c r="H52" s="76">
        <v>2</v>
      </c>
      <c r="I52" s="92"/>
      <c r="J52" s="76"/>
      <c r="K52" s="67">
        <v>114</v>
      </c>
      <c r="L52" s="93"/>
    </row>
    <row r="53" customHeight="1" spans="1:12">
      <c r="A53" s="90"/>
      <c r="B53" s="91"/>
      <c r="C53" s="83"/>
      <c r="D53" s="81" t="s">
        <v>77</v>
      </c>
      <c r="E53" s="81"/>
      <c r="F53" s="81"/>
      <c r="G53" s="81"/>
      <c r="H53" s="76">
        <v>2</v>
      </c>
      <c r="I53" s="92"/>
      <c r="J53" s="76"/>
      <c r="K53" s="67">
        <v>54</v>
      </c>
      <c r="L53" s="93"/>
    </row>
    <row r="54" customHeight="1" spans="1:12">
      <c r="A54" s="90"/>
      <c r="B54" s="91"/>
      <c r="C54" s="83"/>
      <c r="D54" s="81" t="s">
        <v>78</v>
      </c>
      <c r="E54" s="81"/>
      <c r="F54" s="81"/>
      <c r="G54" s="81"/>
      <c r="H54" s="76">
        <v>2</v>
      </c>
      <c r="I54" s="92"/>
      <c r="J54" s="76"/>
      <c r="K54" s="67">
        <v>64</v>
      </c>
      <c r="L54" s="93"/>
    </row>
    <row r="55" customHeight="1" spans="1:12">
      <c r="A55" s="90"/>
      <c r="B55" s="91"/>
      <c r="C55" s="83"/>
      <c r="D55" s="81" t="s">
        <v>79</v>
      </c>
      <c r="E55" s="81"/>
      <c r="F55" s="81"/>
      <c r="G55" s="81"/>
      <c r="H55" s="76">
        <v>4</v>
      </c>
      <c r="I55" s="92"/>
      <c r="J55" s="76"/>
      <c r="K55" s="67">
        <v>1880</v>
      </c>
      <c r="L55" s="93"/>
    </row>
    <row r="56" customHeight="1" spans="1:12">
      <c r="A56" s="90"/>
      <c r="B56" s="91"/>
      <c r="C56" s="83"/>
      <c r="D56" s="81" t="s">
        <v>80</v>
      </c>
      <c r="E56" s="81"/>
      <c r="F56" s="81"/>
      <c r="G56" s="81"/>
      <c r="H56" s="76">
        <v>2</v>
      </c>
      <c r="I56" s="92"/>
      <c r="J56" s="76"/>
      <c r="K56" s="67">
        <v>228</v>
      </c>
      <c r="L56" s="93"/>
    </row>
    <row r="57" customHeight="1" spans="1:12">
      <c r="A57" s="90"/>
      <c r="B57" s="91"/>
      <c r="C57" s="83"/>
      <c r="D57" s="81" t="s">
        <v>81</v>
      </c>
      <c r="E57" s="81"/>
      <c r="F57" s="81"/>
      <c r="G57" s="81"/>
      <c r="H57" s="76">
        <v>2</v>
      </c>
      <c r="I57" s="92"/>
      <c r="J57" s="76"/>
      <c r="K57" s="67">
        <v>46</v>
      </c>
      <c r="L57" s="93"/>
    </row>
    <row r="58" customHeight="1" spans="1:12">
      <c r="A58" s="90"/>
      <c r="B58" s="91"/>
      <c r="C58" s="83"/>
      <c r="D58" s="81" t="s">
        <v>82</v>
      </c>
      <c r="E58" s="81"/>
      <c r="F58" s="81"/>
      <c r="G58" s="81"/>
      <c r="H58" s="76">
        <v>2</v>
      </c>
      <c r="I58" s="92"/>
      <c r="J58" s="76"/>
      <c r="K58" s="67">
        <v>28</v>
      </c>
      <c r="L58" s="93"/>
    </row>
    <row r="59" customHeight="1" spans="1:12">
      <c r="A59" s="94"/>
      <c r="B59" s="95"/>
      <c r="C59" s="96"/>
      <c r="D59" s="97" t="s">
        <v>83</v>
      </c>
      <c r="E59" s="97"/>
      <c r="F59" s="97"/>
      <c r="G59" s="97"/>
      <c r="H59" s="98">
        <v>1</v>
      </c>
      <c r="I59" s="99"/>
      <c r="J59" s="98"/>
      <c r="K59" s="100">
        <v>1050</v>
      </c>
      <c r="L59" s="101"/>
    </row>
    <row r="60" customHeight="1" spans="1:12">
      <c r="A60" s="79" t="s">
        <v>84</v>
      </c>
      <c r="D60" s="83"/>
      <c r="E60" s="83"/>
      <c r="F60" s="83"/>
      <c r="G60" s="83"/>
      <c r="H60" s="83">
        <f>SUM(H17:H59)</f>
        <v>102</v>
      </c>
      <c r="K60" s="102">
        <f>SUM(K17:K59)</f>
        <v>18255</v>
      </c>
      <c r="L60" s="83">
        <v>60</v>
      </c>
    </row>
  </sheetData>
  <mergeCells count="66">
    <mergeCell ref="A1:L1"/>
    <mergeCell ref="A2:L2"/>
    <mergeCell ref="G3:J3"/>
    <mergeCell ref="K3:L3"/>
    <mergeCell ref="A4:F4"/>
    <mergeCell ref="G4:J4"/>
    <mergeCell ref="A5:F5"/>
    <mergeCell ref="G5:J5"/>
    <mergeCell ref="A6:F6"/>
    <mergeCell ref="A7:F7"/>
    <mergeCell ref="G8:L8"/>
    <mergeCell ref="A10:F10"/>
    <mergeCell ref="K10:L10"/>
    <mergeCell ref="A11:F11"/>
    <mergeCell ref="A12:F12"/>
    <mergeCell ref="K12:L12"/>
    <mergeCell ref="A13:F13"/>
    <mergeCell ref="A14:F14"/>
    <mergeCell ref="G14:L14"/>
    <mergeCell ref="D15:G15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D57:G57"/>
    <mergeCell ref="D58:G58"/>
    <mergeCell ref="D59:G59"/>
    <mergeCell ref="A15:A16"/>
    <mergeCell ref="B15:C16"/>
    <mergeCell ref="G11:J13"/>
  </mergeCells>
  <hyperlinks>
    <hyperlink ref="A6" r:id="rId2" display="1-812-221-7098"/>
    <hyperlink ref="A13" r:id="rId3" display="EMAIL:DYLAN@ZHWII.COM" tooltip="mailto:xielj@usaatspower.com"/>
    <hyperlink ref="A7" r:id="rId4" display="damauctionco@gmail.com" tooltip="mailto:damauctionco@gmail.com"/>
  </hyperlinks>
  <pageMargins left="0.16875" right="0.2" top="0.2" bottom="0.16875" header="0.16875" footer="0.288888888888889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余温、</cp:lastModifiedBy>
  <dcterms:created xsi:type="dcterms:W3CDTF">2009-07-22T08:55:00Z</dcterms:created>
  <cp:lastPrinted>2018-12-28T05:42:00Z</cp:lastPrinted>
  <dcterms:modified xsi:type="dcterms:W3CDTF">2026-01-29T07:32:58Z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482B3B1F24DF4D14A27D766448BCCAE0_13</vt:lpwstr>
  </property>
  <property fmtid="{D5CDD505-2E9C-101B-9397-08002B2CF9AE}" pid="4" name="commondata">
    <vt:lpwstr>eyJoZGlkIjoiZDUwMjRjYjVkYTczYTg5MzVkNTE4MGRhODJlMDk1NDkifQ==</vt:lpwstr>
  </property>
  <property fmtid="{D5CDD505-2E9C-101B-9397-08002B2CF9AE}" pid="5" name="CalculationRule">
    <vt:i4>0</vt:i4>
  </property>
</Properties>
</file>