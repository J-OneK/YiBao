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明细" sheetId="7" r:id="rId1"/>
    <sheet name="发票" sheetId="1" r:id="rId2"/>
    <sheet name="外销合同" sheetId="4" r:id="rId3"/>
    <sheet name="箱单" sheetId="2" r:id="rId4"/>
    <sheet name="报关单" sheetId="9" r:id="rId5"/>
    <sheet name="申报要素" sheetId="6" r:id="rId6"/>
  </sheets>
  <definedNames>
    <definedName name="_xlnm._FilterDatabase" localSheetId="0" hidden="1">明细!$A$25:$R$77</definedName>
    <definedName name="_xlnm.Print_Area" localSheetId="4">报关单!$A$1:$K$169</definedName>
    <definedName name="_xlnm.Print_Area" localSheetId="1">发票!#REF!</definedName>
    <definedName name="_xlnm.Print_Area" localSheetId="3">箱单!#REF!</definedName>
    <definedName name="_xlnm._FilterDatabase" localSheetId="4" hidden="1">报关单!$A$16:$L$16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<sst xmlns="http://schemas.openxmlformats.org/spreadsheetml/2006/main" count="716" uniqueCount="252">
  <si>
    <t>发货人 SHIPPER:</t>
  </si>
  <si>
    <t>经营单位</t>
  </si>
  <si>
    <t>中文名：</t>
  </si>
  <si>
    <t>上海福洺电子商务有限公司</t>
  </si>
  <si>
    <t>英文名：</t>
  </si>
  <si>
    <t>营业执照号</t>
  </si>
  <si>
    <t>91310120MABY7LT67T</t>
  </si>
  <si>
    <t>申报单位</t>
  </si>
  <si>
    <t>收货人 CONSGINEE：</t>
  </si>
  <si>
    <t xml:space="preserve">Amazon.com Services, Inc.
</t>
  </si>
  <si>
    <t>10位编码</t>
  </si>
  <si>
    <t>其他</t>
  </si>
  <si>
    <t>发票号</t>
  </si>
  <si>
    <t>HY26011821-1</t>
  </si>
  <si>
    <t>发票上显示成交方式</t>
  </si>
  <si>
    <t>FOB SHANGHAI</t>
  </si>
  <si>
    <t>运输方式</t>
  </si>
  <si>
    <t>BY SEA</t>
  </si>
  <si>
    <r>
      <rPr>
        <sz val="12"/>
        <rFont val="微软雅黑"/>
        <charset val="134"/>
      </rPr>
      <t>通知人 Notify</t>
    </r>
    <r>
      <rPr>
        <sz val="12"/>
        <color indexed="8"/>
        <rFont val="微软雅黑"/>
        <charset val="134"/>
      </rPr>
      <t>：</t>
    </r>
  </si>
  <si>
    <t>包装种类</t>
  </si>
  <si>
    <t>CARTONS</t>
  </si>
  <si>
    <t>出口口岸</t>
  </si>
  <si>
    <t>SHANGHAI</t>
  </si>
  <si>
    <t>贸易国（地区）</t>
  </si>
  <si>
    <t>美国</t>
  </si>
  <si>
    <t>运抵国（地区）</t>
  </si>
  <si>
    <t>指运港</t>
  </si>
  <si>
    <t>唛头：</t>
  </si>
  <si>
    <t>成交方式</t>
  </si>
  <si>
    <t>FOB</t>
  </si>
  <si>
    <t>境内货源地</t>
  </si>
  <si>
    <t>运费</t>
  </si>
  <si>
    <t>保费</t>
  </si>
  <si>
    <t>货币单位</t>
  </si>
  <si>
    <t>USD</t>
  </si>
  <si>
    <t>美元</t>
  </si>
  <si>
    <t>日期</t>
  </si>
  <si>
    <t>序号</t>
  </si>
  <si>
    <t>英文名</t>
  </si>
  <si>
    <t>中文名</t>
  </si>
  <si>
    <t>HS</t>
  </si>
  <si>
    <t>G.W KGS</t>
  </si>
  <si>
    <t>N.W KGS</t>
  </si>
  <si>
    <t>单价 USD</t>
  </si>
  <si>
    <t>金额  FOB</t>
  </si>
  <si>
    <t>数量</t>
  </si>
  <si>
    <t>中文单位</t>
  </si>
  <si>
    <t>(英文单位)</t>
  </si>
  <si>
    <t>箱数</t>
  </si>
  <si>
    <t>包装单位</t>
  </si>
  <si>
    <t>CBM</t>
  </si>
  <si>
    <t>申报要素</t>
  </si>
  <si>
    <t>货源地</t>
  </si>
  <si>
    <t>SCREWS</t>
  </si>
  <si>
    <t>螺钉</t>
  </si>
  <si>
    <t>套</t>
  </si>
  <si>
    <t>PCS</t>
  </si>
  <si>
    <t>箱</t>
  </si>
  <si>
    <t>0|0|不锈钢|460-750MPA|无品牌|无型号|4.85MM</t>
  </si>
  <si>
    <t>上海奉贤</t>
  </si>
  <si>
    <t>YS323</t>
  </si>
  <si>
    <t>YS325</t>
  </si>
  <si>
    <t>YS327</t>
  </si>
  <si>
    <t>YS328</t>
  </si>
  <si>
    <t>YS329</t>
  </si>
  <si>
    <t>YS145</t>
  </si>
  <si>
    <t>YS161</t>
  </si>
  <si>
    <t>Railing bracket</t>
  </si>
  <si>
    <t>栏杆支架</t>
  </si>
  <si>
    <t>0|0|非工业用|铁|锻造</t>
  </si>
  <si>
    <t>江苏盐城</t>
  </si>
  <si>
    <t>YS382</t>
  </si>
  <si>
    <t>YS125</t>
  </si>
  <si>
    <t>YS124</t>
  </si>
  <si>
    <t>YS381</t>
  </si>
  <si>
    <t>0|0|铁|460-750MPA|无品牌|无型号|4.85MM</t>
  </si>
  <si>
    <t>河北邯郸</t>
  </si>
  <si>
    <t>YS356</t>
  </si>
  <si>
    <t>CONNECTOR BASE</t>
  </si>
  <si>
    <t>不锈钢连接件底座</t>
  </si>
  <si>
    <t>0|0|家用|不锈钢|无品牌|无型号</t>
  </si>
  <si>
    <t>上海市奉贤区</t>
  </si>
  <si>
    <t>YS71</t>
  </si>
  <si>
    <t>连接件底座</t>
  </si>
  <si>
    <t>0|0|家用|铁|无品牌|无型号</t>
  </si>
  <si>
    <t>YS43</t>
  </si>
  <si>
    <t>YS44</t>
  </si>
  <si>
    <t>YS40</t>
  </si>
  <si>
    <t>YS41</t>
  </si>
  <si>
    <t>YS162</t>
  </si>
  <si>
    <t>YS42</t>
  </si>
  <si>
    <t>YS205</t>
  </si>
  <si>
    <t>江苏昆山</t>
  </si>
  <si>
    <t>YS73</t>
  </si>
  <si>
    <t>YS163</t>
  </si>
  <si>
    <t>江苏启东</t>
  </si>
  <si>
    <t>YS278</t>
  </si>
  <si>
    <t>YS279</t>
  </si>
  <si>
    <t>YS280</t>
  </si>
  <si>
    <t>YS545</t>
  </si>
  <si>
    <t>YS317</t>
  </si>
  <si>
    <t>YS316</t>
  </si>
  <si>
    <t>YS384</t>
  </si>
  <si>
    <t>YS361</t>
  </si>
  <si>
    <t>YS320</t>
  </si>
  <si>
    <t>YS319</t>
  </si>
  <si>
    <t>YS544</t>
  </si>
  <si>
    <t>YS181</t>
  </si>
  <si>
    <t>YS524</t>
  </si>
  <si>
    <t>YS523</t>
  </si>
  <si>
    <t>YS331</t>
  </si>
  <si>
    <t>YS340</t>
  </si>
  <si>
    <t>YS313</t>
  </si>
  <si>
    <t>YS252</t>
  </si>
  <si>
    <t>YS251</t>
  </si>
  <si>
    <t>YS678</t>
  </si>
  <si>
    <t>YS108</t>
  </si>
  <si>
    <t>YS157</t>
  </si>
  <si>
    <t>YS49</t>
  </si>
  <si>
    <t>YS48</t>
  </si>
  <si>
    <t>YS679</t>
  </si>
  <si>
    <t>YS107</t>
  </si>
  <si>
    <t>YS51</t>
  </si>
  <si>
    <t>YS50</t>
  </si>
  <si>
    <t>http://www.hscode.net/IntegrateQueries/QueryYS/</t>
  </si>
  <si>
    <t>申报要素查询网站</t>
  </si>
  <si>
    <t>COMMERCIAL INVOICE</t>
  </si>
  <si>
    <t xml:space="preserve">Invoice No: </t>
  </si>
  <si>
    <t>CONSIGNEE:</t>
  </si>
  <si>
    <t>DATE:</t>
  </si>
  <si>
    <t xml:space="preserve">FROM: </t>
  </si>
  <si>
    <t>TO:</t>
  </si>
  <si>
    <t>DESCRIPTION OF GOODS</t>
  </si>
  <si>
    <t>QUANTITY</t>
  </si>
  <si>
    <t>UNIT PRICE（USD）</t>
  </si>
  <si>
    <t>AMOUNT（FOB）</t>
  </si>
  <si>
    <t>TOTAL:</t>
  </si>
  <si>
    <r>
      <rPr>
        <sz val="9"/>
        <rFont val="宋体"/>
        <charset val="134"/>
      </rPr>
      <t>合同号码</t>
    </r>
    <r>
      <rPr>
        <sz val="9"/>
        <rFont val="Times New Roman"/>
        <charset val="134"/>
      </rPr>
      <t xml:space="preserve">:
Contract No: </t>
    </r>
  </si>
  <si>
    <t xml:space="preserve"> </t>
  </si>
  <si>
    <r>
      <rPr>
        <b/>
        <sz val="22"/>
        <rFont val="宋体"/>
        <charset val="134"/>
        <scheme val="minor"/>
      </rPr>
      <t>订</t>
    </r>
    <r>
      <rPr>
        <b/>
        <sz val="22"/>
        <rFont val="Times New Roman"/>
        <charset val="134"/>
      </rPr>
      <t xml:space="preserve"> </t>
    </r>
    <r>
      <rPr>
        <b/>
        <sz val="22"/>
        <rFont val="宋体"/>
        <charset val="134"/>
      </rPr>
      <t>购</t>
    </r>
    <r>
      <rPr>
        <b/>
        <sz val="22"/>
        <rFont val="Times New Roman"/>
        <charset val="134"/>
      </rPr>
      <t xml:space="preserve"> </t>
    </r>
    <r>
      <rPr>
        <b/>
        <sz val="22"/>
        <rFont val="宋体"/>
        <charset val="134"/>
      </rPr>
      <t>合</t>
    </r>
    <r>
      <rPr>
        <b/>
        <sz val="22"/>
        <rFont val="Times New Roman"/>
        <charset val="134"/>
      </rPr>
      <t xml:space="preserve"> </t>
    </r>
    <r>
      <rPr>
        <b/>
        <sz val="22"/>
        <rFont val="宋体"/>
        <charset val="134"/>
      </rPr>
      <t>同</t>
    </r>
  </si>
  <si>
    <r>
      <rPr>
        <sz val="9"/>
        <rFont val="宋体"/>
        <charset val="134"/>
        <scheme val="minor"/>
      </rPr>
      <t>日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>期</t>
    </r>
    <r>
      <rPr>
        <sz val="9"/>
        <rFont val="Times New Roman"/>
        <charset val="134"/>
      </rPr>
      <t xml:space="preserve"> 
Date:</t>
    </r>
  </si>
  <si>
    <t>PURCHASE CONTRACT</t>
  </si>
  <si>
    <t xml:space="preserve">签订地点
Signed At: </t>
  </si>
  <si>
    <r>
      <rPr>
        <sz val="9"/>
        <rFont val="宋体"/>
        <charset val="134"/>
        <scheme val="minor"/>
      </rPr>
      <t>买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方
</t>
    </r>
    <r>
      <rPr>
        <sz val="9"/>
        <rFont val="Times New Roman"/>
        <charset val="134"/>
      </rPr>
      <t>The buyers:</t>
    </r>
  </si>
  <si>
    <r>
      <rPr>
        <sz val="9"/>
        <rFont val="宋体"/>
        <charset val="134"/>
        <scheme val="minor"/>
      </rPr>
      <t>电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>话</t>
    </r>
    <r>
      <rPr>
        <sz val="9"/>
        <rFont val="Times New Roman"/>
        <charset val="134"/>
      </rPr>
      <t xml:space="preserve"> 
Tel:</t>
    </r>
  </si>
  <si>
    <r>
      <rPr>
        <sz val="9"/>
        <rFont val="宋体"/>
        <charset val="134"/>
        <scheme val="minor"/>
      </rPr>
      <t>地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址
</t>
    </r>
    <r>
      <rPr>
        <sz val="9"/>
        <rFont val="Times New Roman"/>
        <charset val="134"/>
      </rPr>
      <t>Address:</t>
    </r>
  </si>
  <si>
    <r>
      <rPr>
        <sz val="9"/>
        <rFont val="宋体"/>
        <charset val="134"/>
        <scheme val="minor"/>
      </rPr>
      <t>传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真
</t>
    </r>
    <r>
      <rPr>
        <sz val="9"/>
        <rFont val="Times New Roman"/>
        <charset val="134"/>
      </rPr>
      <t>Fax:</t>
    </r>
  </si>
  <si>
    <r>
      <rPr>
        <sz val="9"/>
        <rFont val="宋体"/>
        <charset val="134"/>
        <scheme val="minor"/>
      </rPr>
      <t>卖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>方</t>
    </r>
    <r>
      <rPr>
        <sz val="9"/>
        <rFont val="Times New Roman"/>
        <charset val="134"/>
      </rPr>
      <t xml:space="preserve"> 
The sellers:</t>
    </r>
  </si>
  <si>
    <r>
      <rPr>
        <sz val="9"/>
        <rFont val="宋体"/>
        <charset val="134"/>
      </rPr>
      <t>电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话
</t>
    </r>
    <r>
      <rPr>
        <sz val="9"/>
        <rFont val="Times New Roman"/>
        <charset val="134"/>
      </rPr>
      <t xml:space="preserve">Tel: </t>
    </r>
  </si>
  <si>
    <r>
      <rPr>
        <sz val="9"/>
        <rFont val="宋体"/>
        <charset val="134"/>
        <scheme val="minor"/>
      </rPr>
      <t>地址</t>
    </r>
    <r>
      <rPr>
        <sz val="9"/>
        <rFont val="Times New Roman"/>
        <charset val="134"/>
      </rPr>
      <t xml:space="preserve"> 
Address:</t>
    </r>
  </si>
  <si>
    <r>
      <rPr>
        <sz val="9"/>
        <rFont val="宋体"/>
        <charset val="134"/>
      </rPr>
      <t>传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真
</t>
    </r>
    <r>
      <rPr>
        <sz val="9"/>
        <rFont val="Times New Roman"/>
        <charset val="134"/>
      </rPr>
      <t>Fax:</t>
    </r>
  </si>
  <si>
    <t>兹经买卖双方同意由买方购进下列货物，并按下列条款签订本合同：</t>
  </si>
  <si>
    <t>This purchase contract is made by and between the Sellers and the Buyers’ whereby the Sellers agree to sell and the Buyers agree to  buy the under-mentioned goods according to the terms and condictions stipulated below:</t>
  </si>
  <si>
    <t>商品名称，规格及包装</t>
  </si>
  <si>
    <t>单位</t>
  </si>
  <si>
    <t>金额</t>
  </si>
  <si>
    <t>Name of Commodity ,Specification &amp; Packing</t>
  </si>
  <si>
    <t>Unit</t>
  </si>
  <si>
    <t>Quantity</t>
  </si>
  <si>
    <t>Value</t>
  </si>
  <si>
    <t>Total:</t>
  </si>
  <si>
    <r>
      <rPr>
        <sz val="9"/>
        <rFont val="宋体"/>
        <charset val="134"/>
        <scheme val="minor"/>
      </rPr>
      <t>总值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大写</t>
    </r>
    <r>
      <rPr>
        <sz val="9"/>
        <rFont val="Times New Roman"/>
        <charset val="134"/>
      </rPr>
      <t>)</t>
    </r>
  </si>
  <si>
    <t>Total Value:</t>
  </si>
  <si>
    <t>Say total dollars</t>
  </si>
  <si>
    <r>
      <rPr>
        <sz val="9"/>
        <rFont val="Times New Roman"/>
        <charset val="134"/>
      </rPr>
      <t>2.</t>
    </r>
    <r>
      <rPr>
        <sz val="9"/>
        <rFont val="宋体"/>
        <charset val="134"/>
      </rPr>
      <t>装运口岸</t>
    </r>
    <r>
      <rPr>
        <sz val="9"/>
        <rFont val="Times New Roman"/>
        <charset val="134"/>
      </rPr>
      <t xml:space="preserve">:
Port of shipment:   </t>
    </r>
  </si>
  <si>
    <r>
      <rPr>
        <sz val="9"/>
        <rFont val="Times New Roman"/>
        <charset val="134"/>
      </rPr>
      <t>3.</t>
    </r>
    <r>
      <rPr>
        <sz val="9"/>
        <rFont val="宋体"/>
        <charset val="134"/>
      </rPr>
      <t>目的口岸</t>
    </r>
    <r>
      <rPr>
        <sz val="9"/>
        <rFont val="Times New Roman"/>
        <charset val="134"/>
      </rPr>
      <t xml:space="preserve">:
 Port of Destination: </t>
    </r>
  </si>
  <si>
    <r>
      <rPr>
        <sz val="9"/>
        <rFont val="Times New Roman"/>
        <charset val="134"/>
      </rPr>
      <t>4.</t>
    </r>
    <r>
      <rPr>
        <sz val="9"/>
        <rFont val="宋体"/>
        <charset val="134"/>
      </rPr>
      <t>装运期限</t>
    </r>
    <r>
      <rPr>
        <sz val="9"/>
        <rFont val="Times New Roman"/>
        <charset val="134"/>
      </rPr>
      <t xml:space="preserve">:
Time of Shipment:                         </t>
    </r>
  </si>
  <si>
    <r>
      <rPr>
        <sz val="9"/>
        <rFont val="Times New Roman"/>
        <charset val="134"/>
      </rPr>
      <t>5.</t>
    </r>
    <r>
      <rPr>
        <sz val="9"/>
        <rFont val="宋体"/>
        <charset val="134"/>
      </rPr>
      <t>装运标志</t>
    </r>
    <r>
      <rPr>
        <sz val="9"/>
        <rFont val="Times New Roman"/>
        <charset val="134"/>
      </rPr>
      <t xml:space="preserve">:
 Shipping Mark: </t>
    </r>
  </si>
  <si>
    <r>
      <rPr>
        <sz val="9"/>
        <rFont val="Times New Roman"/>
        <charset val="134"/>
      </rPr>
      <t>6.</t>
    </r>
    <r>
      <rPr>
        <sz val="9"/>
        <rFont val="宋体"/>
        <charset val="134"/>
      </rPr>
      <t>付款条款</t>
    </r>
    <r>
      <rPr>
        <sz val="9"/>
        <rFont val="Times New Roman"/>
        <charset val="134"/>
      </rPr>
      <t xml:space="preserve">:  
Terms of Payment:                                                          </t>
    </r>
  </si>
  <si>
    <r>
      <rPr>
        <sz val="9"/>
        <rFont val="宋体"/>
        <charset val="134"/>
      </rPr>
      <t>□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>买方在收到货物后</t>
    </r>
    <r>
      <rPr>
        <sz val="9"/>
        <rFont val="Times New Roman"/>
        <charset val="134"/>
      </rPr>
      <t xml:space="preserve">   </t>
    </r>
    <r>
      <rPr>
        <sz val="9"/>
        <rFont val="宋体"/>
        <charset val="134"/>
      </rPr>
      <t>天内</t>
    </r>
    <r>
      <rPr>
        <sz val="9"/>
        <rFont val="Times New Roman"/>
        <charset val="134"/>
      </rPr>
      <t>,</t>
    </r>
    <r>
      <rPr>
        <sz val="9"/>
        <rFont val="宋体"/>
        <charset val="134"/>
      </rPr>
      <t>以信汇方式将货款汇付卖方</t>
    </r>
    <r>
      <rPr>
        <sz val="9"/>
        <rFont val="Times New Roman"/>
        <charset val="134"/>
      </rPr>
      <t xml:space="preserve">.                      </t>
    </r>
  </si>
  <si>
    <t xml:space="preserve">  After receipt of the goods ,the Buyers shall pay the total value of the invoice to the Sellers by mail transfer within      days.</t>
  </si>
  <si>
    <r>
      <rPr>
        <sz val="9"/>
        <rFont val="Times New Roman"/>
        <charset val="134"/>
      </rPr>
      <t xml:space="preserve">     </t>
    </r>
    <r>
      <rPr>
        <sz val="9"/>
        <rFont val="宋体"/>
        <charset val="134"/>
      </rPr>
      <t>买方在收到货物后</t>
    </r>
    <r>
      <rPr>
        <sz val="9"/>
        <rFont val="Times New Roman"/>
        <charset val="134"/>
      </rPr>
      <t xml:space="preserve">60 </t>
    </r>
    <r>
      <rPr>
        <sz val="9"/>
        <rFont val="宋体"/>
        <charset val="134"/>
      </rPr>
      <t>天内</t>
    </r>
    <r>
      <rPr>
        <sz val="9"/>
        <rFont val="Times New Roman"/>
        <charset val="134"/>
      </rPr>
      <t xml:space="preserve">, </t>
    </r>
    <r>
      <rPr>
        <sz val="9"/>
        <rFont val="宋体"/>
        <charset val="134"/>
      </rPr>
      <t>以电汇方式将货款汇付卖方</t>
    </r>
    <r>
      <rPr>
        <sz val="9"/>
        <rFont val="Times New Roman"/>
        <charset val="134"/>
      </rPr>
      <t>.</t>
    </r>
  </si>
  <si>
    <t xml:space="preserve">  After receipt of the goods, the Buyers shall pay the total value of the invoice to the Sellers by telegraphic transfer within 60 days.</t>
  </si>
  <si>
    <r>
      <rPr>
        <sz val="9"/>
        <rFont val="宋体"/>
        <charset val="134"/>
      </rPr>
      <t>□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>买方应不迟于约定装船期前</t>
    </r>
    <r>
      <rPr>
        <sz val="9"/>
        <rFont val="Times New Roman"/>
        <charset val="134"/>
      </rPr>
      <t xml:space="preserve">    </t>
    </r>
    <r>
      <rPr>
        <sz val="9"/>
        <rFont val="宋体"/>
        <charset val="134"/>
      </rPr>
      <t>天开立不可撤销的信用证</t>
    </r>
    <r>
      <rPr>
        <sz val="9"/>
        <rFont val="Times New Roman"/>
        <charset val="134"/>
      </rPr>
      <t>,</t>
    </r>
    <r>
      <rPr>
        <sz val="9"/>
        <rFont val="宋体"/>
        <charset val="134"/>
      </rPr>
      <t>凭买方即期跟单汇票议付</t>
    </r>
    <r>
      <rPr>
        <sz val="9"/>
        <rFont val="Times New Roman"/>
        <charset val="134"/>
      </rPr>
      <t>,</t>
    </r>
    <r>
      <rPr>
        <sz val="9"/>
        <rFont val="宋体"/>
        <charset val="134"/>
      </rPr>
      <t>议付有效期应延至装运期后</t>
    </r>
    <r>
      <rPr>
        <sz val="9"/>
        <rFont val="Times New Roman"/>
        <charset val="134"/>
      </rPr>
      <t xml:space="preserve">     </t>
    </r>
    <r>
      <rPr>
        <sz val="9"/>
        <rFont val="宋体"/>
        <charset val="134"/>
      </rPr>
      <t>天在到期</t>
    </r>
    <r>
      <rPr>
        <sz val="9"/>
        <rFont val="Times New Roman"/>
        <charset val="134"/>
      </rPr>
      <t xml:space="preserve">       </t>
    </r>
  </si>
  <si>
    <t xml:space="preserve">  By irrevocable Letter of Credit available by the Sellers’ documentary draft at sight, to be opened not less than   days before the </t>
  </si>
  <si>
    <t xml:space="preserve">  contracted date of shipment and to remain valid for negotiation in   until the   th day after the time of shipment.</t>
  </si>
  <si>
    <r>
      <rPr>
        <sz val="9"/>
        <rFont val="宋体"/>
        <charset val="134"/>
      </rPr>
      <t>7.生产国别及制造厂商</t>
    </r>
    <r>
      <rPr>
        <sz val="9"/>
        <rFont val="Times New Roman"/>
        <charset val="134"/>
      </rPr>
      <t xml:space="preserve">:   </t>
    </r>
  </si>
  <si>
    <t xml:space="preserve">  Country of Origin &amp; Manufacture:   </t>
  </si>
  <si>
    <r>
      <rPr>
        <sz val="9"/>
        <rFont val="宋体"/>
        <charset val="134"/>
      </rPr>
      <t>8.保险</t>
    </r>
    <r>
      <rPr>
        <sz val="9"/>
        <rFont val="Times New Roman"/>
        <charset val="134"/>
      </rPr>
      <t xml:space="preserve">: </t>
    </r>
    <r>
      <rPr>
        <sz val="9"/>
        <rFont val="宋体"/>
        <charset val="134"/>
      </rPr>
      <t>□由卖方按发票总值的</t>
    </r>
    <r>
      <rPr>
        <sz val="9"/>
        <rFont val="Times New Roman"/>
        <charset val="134"/>
      </rPr>
      <t>110%,</t>
    </r>
    <r>
      <rPr>
        <sz val="9"/>
        <rFont val="宋体"/>
        <charset val="134"/>
      </rPr>
      <t>并按中国保险条款</t>
    </r>
    <r>
      <rPr>
        <sz val="9"/>
        <rFont val="Times New Roman"/>
        <charset val="134"/>
      </rPr>
      <t>(1981.1.1.),</t>
    </r>
    <r>
      <rPr>
        <sz val="9"/>
        <rFont val="宋体"/>
        <charset val="134"/>
      </rPr>
      <t>保□基本险□综合险及战争险</t>
    </r>
    <r>
      <rPr>
        <sz val="9"/>
        <rFont val="Times New Roman"/>
        <charset val="134"/>
      </rPr>
      <t>.</t>
    </r>
  </si>
  <si>
    <r>
      <rPr>
        <sz val="9"/>
        <rFont val="宋体"/>
        <charset val="134"/>
      </rPr>
      <t xml:space="preserve">  Insurance: To be covered by the Sellers for 110% of the total invoice value against□</t>
    </r>
    <r>
      <rPr>
        <sz val="9"/>
        <rFont val="Times New Roman"/>
        <charset val="134"/>
      </rPr>
      <t>W.P.A.</t>
    </r>
    <r>
      <rPr>
        <sz val="9"/>
        <rFont val="宋体"/>
        <charset val="134"/>
      </rPr>
      <t>□</t>
    </r>
    <r>
      <rPr>
        <sz val="9"/>
        <rFont val="Times New Roman"/>
        <charset val="134"/>
      </rPr>
      <t xml:space="preserve">all risks and war risk only as per the </t>
    </r>
  </si>
  <si>
    <t xml:space="preserve">          China Insurance Clauses(1/1/1981)</t>
  </si>
  <si>
    <r>
      <rPr>
        <sz val="9"/>
        <rFont val="Times New Roman"/>
        <charset val="134"/>
      </rPr>
      <t xml:space="preserve">     </t>
    </r>
    <r>
      <rPr>
        <sz val="9"/>
        <rFont val="宋体"/>
        <charset val="134"/>
      </rPr>
      <t>由买方自理</t>
    </r>
    <r>
      <rPr>
        <sz val="9"/>
        <rFont val="Times New Roman"/>
        <charset val="134"/>
      </rPr>
      <t>. To be effected by the Buyer.</t>
    </r>
  </si>
  <si>
    <r>
      <rPr>
        <sz val="9"/>
        <rFont val="宋体"/>
        <charset val="134"/>
      </rPr>
      <t>9.其</t>
    </r>
    <r>
      <rPr>
        <sz val="9"/>
        <rFont val="Times New Roman"/>
        <charset val="134"/>
      </rPr>
      <t xml:space="preserve">   </t>
    </r>
    <r>
      <rPr>
        <sz val="9"/>
        <rFont val="宋体"/>
        <charset val="134"/>
      </rPr>
      <t>他</t>
    </r>
  </si>
  <si>
    <r>
      <rPr>
        <sz val="9"/>
        <rFont val="宋体"/>
        <charset val="134"/>
      </rPr>
      <t xml:space="preserve">  Others: </t>
    </r>
    <r>
      <rPr>
        <u/>
        <sz val="9"/>
        <rFont val="Times New Roman"/>
        <charset val="134"/>
      </rPr>
      <t xml:space="preserve">                     </t>
    </r>
  </si>
  <si>
    <r>
      <rPr>
        <sz val="9"/>
        <rFont val="宋体"/>
        <charset val="134"/>
      </rPr>
      <t>10.备</t>
    </r>
    <r>
      <rPr>
        <sz val="9"/>
        <rFont val="Times New Roman"/>
        <charset val="134"/>
      </rPr>
      <t xml:space="preserve">    </t>
    </r>
    <r>
      <rPr>
        <sz val="9"/>
        <rFont val="宋体"/>
        <charset val="134"/>
      </rPr>
      <t>注</t>
    </r>
  </si>
  <si>
    <r>
      <rPr>
        <sz val="9"/>
        <rFont val="宋体"/>
        <charset val="134"/>
      </rPr>
      <t>REMARKS:(a)本合同其他有关事项均按交货条款之规定办理</t>
    </r>
    <r>
      <rPr>
        <sz val="9"/>
        <rFont val="Times New Roman"/>
        <charset val="134"/>
      </rPr>
      <t>,</t>
    </r>
    <r>
      <rPr>
        <sz val="9"/>
        <rFont val="宋体"/>
        <charset val="134"/>
      </rPr>
      <t>该交货条款为合同只不可分割部分</t>
    </r>
    <r>
      <rPr>
        <sz val="9"/>
        <rFont val="Times New Roman"/>
        <charset val="134"/>
      </rPr>
      <t>.</t>
    </r>
  </si>
  <si>
    <r>
      <rPr>
        <sz val="9"/>
        <rFont val="宋体"/>
        <charset val="134"/>
      </rPr>
      <t xml:space="preserve">        (b)本合同以中英两种文字书就</t>
    </r>
    <r>
      <rPr>
        <sz val="9"/>
        <rFont val="Times New Roman"/>
        <charset val="134"/>
      </rPr>
      <t>,</t>
    </r>
    <r>
      <rPr>
        <sz val="9"/>
        <rFont val="宋体"/>
        <charset val="134"/>
      </rPr>
      <t>两种文字的条款具有同等效力</t>
    </r>
    <r>
      <rPr>
        <sz val="9"/>
        <rFont val="Times New Roman"/>
        <charset val="134"/>
      </rPr>
      <t>.</t>
    </r>
  </si>
  <si>
    <t xml:space="preserve">        (a)Other matters relating to this Contract shall be dealt with in accordance with the Terms of Delivery as specified   </t>
  </si>
  <si>
    <t xml:space="preserve">            overleaf, which shall form an integral part of this Contract.</t>
  </si>
  <si>
    <t xml:space="preserve">        (b)This Contract is made out in Chinese and English, both versions being equally authentic.</t>
  </si>
  <si>
    <t xml:space="preserve">PACKING LIST </t>
  </si>
  <si>
    <t>TERMS OF PAYMENT:T/T</t>
  </si>
  <si>
    <t xml:space="preserve"> Packages（PLT）</t>
  </si>
  <si>
    <t xml:space="preserve"> Gross Wt.(KGS)</t>
  </si>
  <si>
    <t xml:space="preserve">Net Wt.(KGS) </t>
  </si>
  <si>
    <t>Measurement(M3)</t>
  </si>
  <si>
    <t>中华人民共和国海关出口货物报关单</t>
  </si>
  <si>
    <r>
      <rPr>
        <b/>
        <sz val="12"/>
        <color theme="1"/>
        <rFont val="宋体"/>
        <charset val="134"/>
        <scheme val="minor"/>
      </rPr>
      <t>预录入编号：</t>
    </r>
    <r>
      <rPr>
        <sz val="12"/>
        <color theme="1"/>
        <rFont val="宋体"/>
        <charset val="134"/>
        <scheme val="minor"/>
      </rPr>
      <t xml:space="preserve">                                                  </t>
    </r>
    <r>
      <rPr>
        <b/>
        <sz val="12"/>
        <color theme="1"/>
        <rFont val="宋体"/>
        <charset val="134"/>
        <scheme val="minor"/>
      </rPr>
      <t>海关编号：</t>
    </r>
    <r>
      <rPr>
        <sz val="12"/>
        <color theme="1"/>
        <rFont val="宋体"/>
        <charset val="134"/>
        <scheme val="minor"/>
      </rPr>
      <t xml:space="preserve">                                                                                                                                </t>
    </r>
    <r>
      <rPr>
        <b/>
        <sz val="12"/>
        <color theme="1"/>
        <rFont val="宋体"/>
        <charset val="134"/>
        <scheme val="minor"/>
      </rPr>
      <t>页码/页数：</t>
    </r>
  </si>
  <si>
    <t>境内发货人</t>
  </si>
  <si>
    <r>
      <rPr>
        <b/>
        <sz val="12"/>
        <rFont val="宋体"/>
        <charset val="134"/>
        <scheme val="minor"/>
      </rPr>
      <t>出境关别</t>
    </r>
    <r>
      <rPr>
        <b/>
        <sz val="12"/>
        <color rgb="FFFF0000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</si>
  <si>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出口日期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</si>
  <si>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申报日期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</si>
  <si>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备案号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</si>
  <si>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rFont val="宋体"/>
        <charset val="134"/>
        <scheme val="minor"/>
      </rPr>
      <t>境外收货人</t>
    </r>
    <r>
      <rPr>
        <sz val="12"/>
        <color rgb="FFFF0000"/>
        <rFont val="宋体"/>
        <charset val="134"/>
        <scheme val="minor"/>
      </rPr>
      <t xml:space="preserve">
</t>
    </r>
  </si>
  <si>
    <t xml:space="preserve">
</t>
  </si>
  <si>
    <r>
      <rPr>
        <b/>
        <sz val="12"/>
        <color theme="1"/>
        <rFont val="宋体"/>
        <charset val="134"/>
        <scheme val="minor"/>
      </rPr>
      <t>运输方式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</si>
  <si>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运输工具名称及航次号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</si>
  <si>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提运单号</t>
    </r>
    <r>
      <rPr>
        <sz val="12"/>
        <color theme="1"/>
        <rFont val="宋体"/>
        <charset val="134"/>
        <scheme val="minor"/>
      </rPr>
      <t xml:space="preserve">
</t>
    </r>
  </si>
  <si>
    <t>生产销售单位</t>
  </si>
  <si>
    <r>
      <rPr>
        <b/>
        <sz val="12"/>
        <color theme="1"/>
        <rFont val="宋体"/>
        <charset val="134"/>
        <scheme val="minor"/>
      </rPr>
      <t>监管方式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</si>
  <si>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征免性质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</si>
  <si>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许可证号</t>
    </r>
    <r>
      <rPr>
        <sz val="12"/>
        <color theme="1"/>
        <rFont val="宋体"/>
        <charset val="134"/>
        <scheme val="minor"/>
      </rPr>
      <t xml:space="preserve">
</t>
    </r>
  </si>
  <si>
    <t>一般贸易</t>
  </si>
  <si>
    <t>合同协议号</t>
  </si>
  <si>
    <r>
      <rPr>
        <b/>
        <sz val="12"/>
        <color theme="1"/>
        <rFont val="宋体"/>
        <charset val="134"/>
        <scheme val="minor"/>
      </rPr>
      <t>贸易国（地区）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</si>
  <si>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运抵国（地区）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</si>
  <si>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指运港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</si>
  <si>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rFont val="宋体"/>
        <charset val="134"/>
        <scheme val="minor"/>
      </rPr>
      <t>离境口岸</t>
    </r>
    <r>
      <rPr>
        <b/>
        <sz val="12"/>
        <color rgb="FFFF0000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</si>
  <si>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包装种类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</si>
  <si>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件数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</si>
  <si>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毛重（千克）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</si>
  <si>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净重(千克)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</si>
  <si>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>成交方式</t>
    </r>
    <r>
      <rPr>
        <sz val="12"/>
        <color theme="1"/>
        <rFont val="宋体"/>
        <charset val="134"/>
        <scheme val="minor"/>
      </rPr>
      <t xml:space="preserve">
</t>
    </r>
  </si>
  <si>
    <r>
      <rPr>
        <b/>
        <sz val="12"/>
        <color theme="1"/>
        <rFont val="宋体"/>
        <charset val="134"/>
        <scheme val="minor"/>
      </rPr>
      <t xml:space="preserve">运费 </t>
    </r>
    <r>
      <rPr>
        <sz val="12"/>
        <color theme="1"/>
        <rFont val="宋体"/>
        <charset val="134"/>
        <scheme val="minor"/>
      </rPr>
      <t xml:space="preserve">                              </t>
    </r>
  </si>
  <si>
    <t>杂费</t>
  </si>
  <si>
    <t>纸箱</t>
  </si>
  <si>
    <r>
      <rPr>
        <b/>
        <sz val="12"/>
        <color theme="1"/>
        <rFont val="宋体"/>
        <charset val="134"/>
        <scheme val="minor"/>
      </rPr>
      <t>随附单证及编号</t>
    </r>
    <r>
      <rPr>
        <sz val="12"/>
        <color theme="1"/>
        <rFont val="宋体"/>
        <charset val="134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
随附单证1：随附单证2：</t>
    </r>
  </si>
  <si>
    <r>
      <rPr>
        <b/>
        <sz val="12"/>
        <color theme="1"/>
        <rFont val="宋体"/>
        <charset val="134"/>
        <scheme val="minor"/>
      </rPr>
      <t>标记唛码及备注</t>
    </r>
    <r>
      <rPr>
        <sz val="12"/>
        <color theme="1"/>
        <rFont val="宋体"/>
        <charset val="134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
</t>
    </r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</si>
  <si>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</si>
  <si>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</si>
  <si>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</si>
  <si>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</si>
  <si>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</si>
  <si>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</si>
  <si>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最终目的国（地区）</t>
  </si>
  <si>
    <t>征免</t>
  </si>
  <si>
    <t>中国</t>
  </si>
  <si>
    <t>一般征免</t>
  </si>
  <si>
    <t>(CHN)</t>
  </si>
  <si>
    <t>特殊关系：</t>
  </si>
  <si>
    <t>价格影响确认：</t>
  </si>
  <si>
    <t>支持特许权使用费确认：</t>
  </si>
  <si>
    <t>自报自缴 ：</t>
  </si>
  <si>
    <t>报关人员                         报关人员证号                                电话               兹申明对以上内容承担如实申报、依法纳税之法律责任
申报单位                                                                                       申报单位（签章）</t>
  </si>
  <si>
    <r>
      <rPr>
        <b/>
        <sz val="12"/>
        <color theme="1"/>
        <rFont val="宋体"/>
        <charset val="134"/>
        <scheme val="minor"/>
      </rPr>
      <t xml:space="preserve">海关批注及签章     </t>
    </r>
    <r>
      <rPr>
        <sz val="12"/>
        <color theme="1"/>
        <rFont val="宋体"/>
        <charset val="134"/>
        <scheme val="minor"/>
      </rPr>
      <t xml:space="preserve">
                                       </t>
    </r>
  </si>
  <si>
    <t>注解：</t>
  </si>
  <si>
    <t>2018年8月1日起新版报关单开始使用，报关单更新内容如下：</t>
  </si>
  <si>
    <t>境内发货人（原收发货人）：输入18位信用代码+中文全称，没有信用代码的情况下，依旧输入10位编码+中文全称</t>
  </si>
  <si>
    <t>境外收货人：对于AEO互认国家（地区）企业的，编码填报AEO编码+填写英文境外收货人全称。无AEO认证的，填写英文境外收货人全称。涉及三方贸易的，填写贸易合同上的收货人信息。</t>
  </si>
  <si>
    <t>境内货源地：单个品名对应境内货源地</t>
  </si>
  <si>
    <t>原产国（新增）：（注明清楚，错误可能影响到退税）</t>
  </si>
  <si>
    <t>出境关别（原出口口岸）/离境口岸（新增）：两项内容填写一致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</si>
</sst>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JPY]\ #,##0.00_);[Red]\([$JPY]\ #,##0.00\)"/>
    <numFmt numFmtId="177" formatCode="0.00_ "/>
    <numFmt numFmtId="178" formatCode="0;\-0;;@"/>
    <numFmt numFmtId="179" formatCode="0.00;\-0.00;;@"/>
    <numFmt numFmtId="180" formatCode="0.00;\-0;;@"/>
    <numFmt numFmtId="181" formatCode="#,##0.00_ "/>
    <numFmt numFmtId="182" formatCode="[$USD]\ #,##0.00;[$USD]\ \-#,##0.00"/>
    <numFmt numFmtId="183" formatCode="[DBNum2]&quot;美&quot;&quot;元&quot;[$-804]General&quot;元&quot;&quot;整&quot;"/>
    <numFmt numFmtId="184" formatCode="0.0_ "/>
    <numFmt numFmtId="185" formatCode="0_);[Red]\(0\)"/>
    <numFmt numFmtId="186" formatCode="&quot;US$&quot;#,##0_);[Red]\(&quot;US$&quot;#,##0\)"/>
    <numFmt numFmtId="187" formatCode="0_ "/>
  </numFmts>
  <fonts count="76">
    <font>
      <sz val="12"/>
      <name val="宋体"/>
      <charset val="134"/>
    </font>
    <font>
      <sz val="12"/>
      <color theme="1"/>
      <name val="宋体"/>
      <charset val="134"/>
    </font>
    <font>
      <b/>
      <sz val="18"/>
      <name val="宋体"/>
      <charset val="134"/>
    </font>
    <font>
      <b/>
      <sz val="24"/>
      <name val="宋体"/>
      <charset val="134"/>
    </font>
    <font>
      <sz val="12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b/>
      <sz val="24"/>
      <name val="微软雅黑"/>
      <charset val="134"/>
    </font>
    <font>
      <b/>
      <u/>
      <sz val="22"/>
      <name val="微软雅黑"/>
      <charset val="134"/>
    </font>
    <font>
      <b/>
      <sz val="12"/>
      <color rgb="FFFF0000"/>
      <name val="微软雅黑"/>
      <charset val="134"/>
    </font>
    <font>
      <b/>
      <sz val="18"/>
      <name val="微软雅黑"/>
      <charset val="134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</font>
    <font>
      <b/>
      <sz val="10.5"/>
      <name val="Times New Roman"/>
      <charset val="134"/>
    </font>
    <font>
      <b/>
      <sz val="22"/>
      <name val="宋体"/>
      <charset val="134"/>
      <scheme val="minor"/>
    </font>
    <font>
      <sz val="9"/>
      <name val="Times New Roman"/>
      <charset val="134"/>
    </font>
    <font>
      <b/>
      <u/>
      <sz val="10.5"/>
      <name val="Times New Roman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0"/>
      <name val="宋体"/>
      <charset val="134"/>
    </font>
    <font>
      <sz val="10"/>
      <color rgb="FF333333"/>
      <name val="宋体"/>
      <charset val="134"/>
    </font>
    <font>
      <sz val="9"/>
      <color theme="1"/>
      <name val="宋体"/>
      <charset val="134"/>
    </font>
    <font>
      <sz val="14"/>
      <name val="微软雅黑"/>
      <charset val="134"/>
    </font>
    <font>
      <b/>
      <sz val="12"/>
      <name val="楷体_GB2312"/>
      <charset val="134"/>
    </font>
    <font>
      <sz val="10"/>
      <name val="微软雅黑"/>
      <charset val="134"/>
    </font>
    <font>
      <sz val="12"/>
      <color rgb="FFFF0000"/>
      <name val="微软雅黑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4"/>
      <color rgb="FFFF0000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돋움"/>
      <charset val="134"/>
    </font>
    <font>
      <b/>
      <sz val="22"/>
      <name val="Times New Roman"/>
      <charset val="134"/>
    </font>
    <font>
      <b/>
      <sz val="22"/>
      <name val="宋体"/>
      <charset val="134"/>
    </font>
    <font>
      <u/>
      <sz val="9"/>
      <name val="Times New Roman"/>
      <charset val="134"/>
    </font>
    <font>
      <sz val="12"/>
      <color indexed="8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43" fillId="0" borderId="0" applyFont="0" applyFill="0" applyBorder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11" borderId="57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58" applyNumberFormat="0" applyFill="0" applyAlignment="0" applyProtection="0">
      <alignment vertical="center"/>
    </xf>
    <xf numFmtId="0" fontId="56" fillId="0" borderId="58" applyNumberFormat="0" applyFill="0" applyAlignment="0" applyProtection="0">
      <alignment vertical="center"/>
    </xf>
    <xf numFmtId="0" fontId="57" fillId="0" borderId="5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2" borderId="60" applyNumberFormat="0" applyAlignment="0" applyProtection="0">
      <alignment vertical="center"/>
    </xf>
    <xf numFmtId="0" fontId="59" fillId="13" borderId="61" applyNumberFormat="0" applyAlignment="0" applyProtection="0">
      <alignment vertical="center"/>
    </xf>
    <xf numFmtId="0" fontId="60" fillId="13" borderId="60" applyNumberFormat="0" applyAlignment="0" applyProtection="0">
      <alignment vertical="center"/>
    </xf>
    <xf numFmtId="0" fontId="61" fillId="14" borderId="62" applyNumberFormat="0" applyAlignment="0" applyProtection="0">
      <alignment vertical="center"/>
    </xf>
    <xf numFmtId="0" fontId="62" fillId="0" borderId="63" applyNumberFormat="0" applyFill="0" applyAlignment="0" applyProtection="0">
      <alignment vertical="center"/>
    </xf>
    <xf numFmtId="0" fontId="63" fillId="0" borderId="64" applyNumberFormat="0" applyFill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43" fillId="0" borderId="0">
      <alignment vertical="center"/>
    </xf>
    <xf numFmtId="0" fontId="69" fillId="0" borderId="0"/>
    <xf numFmtId="0" fontId="70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28" fillId="0" borderId="0">
      <alignment vertical="center"/>
    </xf>
    <xf numFmtId="0" fontId="0" fillId="0" borderId="0"/>
    <xf numFmtId="0" fontId="71" fillId="0" borderId="0">
      <alignment vertical="center"/>
    </xf>
  </cellStyleXfs>
  <cellXfs count="407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54" applyFont="1" applyAlignment="1">
      <alignment horizontal="left" vertical="center"/>
    </xf>
    <xf numFmtId="0" fontId="4" fillId="0" borderId="0" xfId="54" applyFont="1" applyBorder="1">
      <alignment vertical="center"/>
    </xf>
    <xf numFmtId="0" fontId="4" fillId="0" borderId="0" xfId="54" applyFont="1" applyAlignment="1">
      <alignment horizontal="center" vertical="center"/>
    </xf>
    <xf numFmtId="0" fontId="0" fillId="0" borderId="0" xfId="0" applyBorder="1"/>
    <xf numFmtId="0" fontId="5" fillId="0" borderId="0" xfId="54" applyFont="1">
      <alignment vertical="center"/>
    </xf>
    <xf numFmtId="0" fontId="4" fillId="0" borderId="0" xfId="54" applyFont="1">
      <alignment vertical="center"/>
    </xf>
    <xf numFmtId="0" fontId="6" fillId="0" borderId="1" xfId="54" applyFont="1" applyBorder="1" applyAlignment="1">
      <alignment horizontal="center" vertical="center"/>
    </xf>
    <xf numFmtId="0" fontId="7" fillId="0" borderId="2" xfId="54" applyFont="1" applyBorder="1" applyAlignment="1">
      <alignment horizontal="center" vertical="center"/>
    </xf>
    <xf numFmtId="0" fontId="8" fillId="0" borderId="2" xfId="54" applyFont="1" applyBorder="1" applyAlignment="1">
      <alignment horizontal="center" vertical="center"/>
    </xf>
    <xf numFmtId="0" fontId="8" fillId="0" borderId="3" xfId="54" applyFont="1" applyBorder="1" applyAlignment="1">
      <alignment horizontal="center" vertical="center"/>
    </xf>
    <xf numFmtId="0" fontId="4" fillId="0" borderId="4" xfId="54" applyFont="1" applyBorder="1" applyAlignment="1">
      <alignment horizontal="left" vertical="center"/>
    </xf>
    <xf numFmtId="0" fontId="4" fillId="0" borderId="0" xfId="54" applyFont="1" applyBorder="1" applyAlignment="1">
      <alignment horizontal="left" vertical="center"/>
    </xf>
    <xf numFmtId="0" fontId="4" fillId="0" borderId="5" xfId="54" applyFont="1" applyBorder="1" applyAlignment="1">
      <alignment horizontal="left" vertical="center"/>
    </xf>
    <xf numFmtId="0" fontId="9" fillId="0" borderId="6" xfId="54" applyFont="1" applyFill="1" applyBorder="1" applyAlignment="1">
      <alignment horizontal="left" vertical="top" wrapText="1"/>
    </xf>
    <xf numFmtId="0" fontId="9" fillId="0" borderId="7" xfId="54" applyFont="1" applyFill="1" applyBorder="1" applyAlignment="1">
      <alignment horizontal="left" vertical="top" wrapText="1"/>
    </xf>
    <xf numFmtId="0" fontId="9" fillId="0" borderId="8" xfId="54" applyFont="1" applyFill="1" applyBorder="1" applyAlignment="1">
      <alignment horizontal="left" vertical="top" wrapText="1"/>
    </xf>
    <xf numFmtId="0" fontId="10" fillId="0" borderId="9" xfId="54" applyFont="1" applyBorder="1" applyAlignment="1">
      <alignment horizontal="left" vertical="top" wrapText="1"/>
    </xf>
    <xf numFmtId="0" fontId="11" fillId="0" borderId="7" xfId="54" applyFont="1" applyBorder="1" applyAlignment="1">
      <alignment horizontal="left" vertical="top" wrapText="1"/>
    </xf>
    <xf numFmtId="0" fontId="11" fillId="0" borderId="8" xfId="54" applyFont="1" applyBorder="1" applyAlignment="1">
      <alignment horizontal="left" vertical="top" wrapText="1"/>
    </xf>
    <xf numFmtId="0" fontId="4" fillId="0" borderId="10" xfId="54" applyFont="1" applyBorder="1" applyAlignment="1">
      <alignment vertical="top" wrapText="1"/>
    </xf>
    <xf numFmtId="0" fontId="4" fillId="0" borderId="11" xfId="54" applyFont="1" applyBorder="1" applyAlignment="1">
      <alignment vertical="top" wrapText="1"/>
    </xf>
    <xf numFmtId="0" fontId="12" fillId="0" borderId="12" xfId="54" applyFont="1" applyFill="1" applyBorder="1" applyAlignment="1">
      <alignment horizontal="left" vertical="center" wrapText="1"/>
    </xf>
    <xf numFmtId="0" fontId="12" fillId="0" borderId="13" xfId="54" applyFont="1" applyFill="1" applyBorder="1" applyAlignment="1">
      <alignment horizontal="left" vertical="center" wrapText="1"/>
    </xf>
    <xf numFmtId="0" fontId="12" fillId="0" borderId="14" xfId="54" applyFont="1" applyFill="1" applyBorder="1" applyAlignment="1">
      <alignment horizontal="left" vertical="center" wrapText="1"/>
    </xf>
    <xf numFmtId="0" fontId="11" fillId="0" borderId="15" xfId="54" applyFont="1" applyBorder="1" applyAlignment="1">
      <alignment horizontal="left" vertical="center" wrapText="1"/>
    </xf>
    <xf numFmtId="0" fontId="11" fillId="0" borderId="13" xfId="54" applyFont="1" applyBorder="1" applyAlignment="1">
      <alignment horizontal="left" vertical="center" wrapText="1"/>
    </xf>
    <xf numFmtId="0" fontId="11" fillId="0" borderId="14" xfId="54" applyFont="1" applyBorder="1" applyAlignment="1">
      <alignment horizontal="left" vertical="center" wrapText="1"/>
    </xf>
    <xf numFmtId="0" fontId="4" fillId="0" borderId="15" xfId="54" applyFont="1" applyBorder="1" applyAlignment="1">
      <alignment horizontal="center" vertical="center" wrapText="1"/>
    </xf>
    <xf numFmtId="0" fontId="4" fillId="0" borderId="14" xfId="54" applyFont="1" applyBorder="1" applyAlignment="1">
      <alignment horizontal="center" vertical="center" wrapText="1"/>
    </xf>
    <xf numFmtId="0" fontId="4" fillId="0" borderId="16" xfId="54" applyFont="1" applyBorder="1" applyAlignment="1">
      <alignment vertical="center" wrapText="1"/>
    </xf>
    <xf numFmtId="0" fontId="4" fillId="0" borderId="17" xfId="54" applyFont="1" applyBorder="1" applyAlignment="1">
      <alignment horizontal="center" vertical="center" wrapText="1"/>
    </xf>
    <xf numFmtId="0" fontId="13" fillId="0" borderId="18" xfId="54" applyFont="1" applyFill="1" applyBorder="1" applyAlignment="1">
      <alignment vertical="top" wrapText="1"/>
    </xf>
    <xf numFmtId="0" fontId="11" fillId="0" borderId="10" xfId="54" applyFont="1" applyFill="1" applyBorder="1" applyAlignment="1">
      <alignment vertical="top" wrapText="1"/>
    </xf>
    <xf numFmtId="0" fontId="4" fillId="0" borderId="9" xfId="54" applyFont="1" applyBorder="1" applyAlignment="1">
      <alignment horizontal="left" vertical="top" wrapText="1"/>
    </xf>
    <xf numFmtId="0" fontId="4" fillId="0" borderId="7" xfId="54" applyFont="1" applyBorder="1" applyAlignment="1">
      <alignment horizontal="left" vertical="top" wrapText="1"/>
    </xf>
    <xf numFmtId="0" fontId="4" fillId="0" borderId="8" xfId="54" applyFont="1" applyBorder="1" applyAlignment="1">
      <alignment horizontal="left" vertical="top" wrapText="1"/>
    </xf>
    <xf numFmtId="0" fontId="14" fillId="0" borderId="12" xfId="54" applyFont="1" applyFill="1" applyBorder="1" applyAlignment="1">
      <alignment horizontal="left" vertical="center" wrapText="1"/>
    </xf>
    <xf numFmtId="0" fontId="14" fillId="0" borderId="13" xfId="54" applyFont="1" applyFill="1" applyBorder="1" applyAlignment="1">
      <alignment horizontal="left" vertical="center" wrapText="1"/>
    </xf>
    <xf numFmtId="0" fontId="14" fillId="0" borderId="14" xfId="54" applyFont="1" applyFill="1" applyBorder="1" applyAlignment="1">
      <alignment horizontal="left" vertical="center" wrapText="1"/>
    </xf>
    <xf numFmtId="0" fontId="12" fillId="0" borderId="15" xfId="54" applyFont="1" applyBorder="1" applyAlignment="1">
      <alignment horizontal="left" vertical="center" wrapText="1"/>
    </xf>
    <xf numFmtId="0" fontId="12" fillId="0" borderId="13" xfId="54" applyFont="1" applyBorder="1" applyAlignment="1">
      <alignment horizontal="left" vertical="center" wrapText="1"/>
    </xf>
    <xf numFmtId="0" fontId="12" fillId="0" borderId="14" xfId="54" applyFont="1" applyBorder="1" applyAlignment="1">
      <alignment horizontal="left" vertical="center" wrapText="1"/>
    </xf>
    <xf numFmtId="0" fontId="4" fillId="0" borderId="13" xfId="54" applyFont="1" applyBorder="1" applyAlignment="1">
      <alignment horizontal="center" vertical="center" wrapText="1"/>
    </xf>
    <xf numFmtId="0" fontId="4" fillId="0" borderId="15" xfId="54" applyFont="1" applyBorder="1" applyAlignment="1">
      <alignment horizontal="center" vertical="top" wrapText="1"/>
    </xf>
    <xf numFmtId="0" fontId="4" fillId="0" borderId="14" xfId="54" applyFont="1" applyBorder="1" applyAlignment="1">
      <alignment horizontal="center" vertical="top" wrapText="1"/>
    </xf>
    <xf numFmtId="0" fontId="4" fillId="0" borderId="13" xfId="54" applyFont="1" applyBorder="1" applyAlignment="1">
      <alignment horizontal="center" vertical="top" wrapText="1"/>
    </xf>
    <xf numFmtId="0" fontId="4" fillId="0" borderId="17" xfId="54" applyFont="1" applyBorder="1" applyAlignment="1">
      <alignment horizontal="center" vertical="top" wrapText="1"/>
    </xf>
    <xf numFmtId="0" fontId="9" fillId="0" borderId="18" xfId="54" applyFont="1" applyBorder="1" applyAlignment="1">
      <alignment vertical="top" wrapText="1"/>
    </xf>
    <xf numFmtId="0" fontId="10" fillId="0" borderId="10" xfId="54" applyFont="1" applyBorder="1" applyAlignment="1">
      <alignment vertical="top" wrapText="1"/>
    </xf>
    <xf numFmtId="0" fontId="11" fillId="0" borderId="11" xfId="54" applyFont="1" applyBorder="1" applyAlignment="1">
      <alignment vertical="top" wrapText="1"/>
    </xf>
    <xf numFmtId="0" fontId="12" fillId="0" borderId="12" xfId="54" applyFont="1" applyBorder="1" applyAlignment="1">
      <alignment horizontal="left" vertical="center" wrapText="1"/>
    </xf>
    <xf numFmtId="0" fontId="12" fillId="0" borderId="16" xfId="54" applyFont="1" applyBorder="1" applyAlignment="1">
      <alignment horizontal="left" vertical="center" wrapText="1"/>
    </xf>
    <xf numFmtId="0" fontId="15" fillId="0" borderId="15" xfId="54" applyFont="1" applyBorder="1" applyAlignment="1">
      <alignment horizontal="center" vertical="center" wrapText="1"/>
    </xf>
    <xf numFmtId="0" fontId="15" fillId="0" borderId="17" xfId="54" applyFont="1" applyBorder="1" applyAlignment="1">
      <alignment horizontal="center" vertical="center" wrapText="1"/>
    </xf>
    <xf numFmtId="0" fontId="4" fillId="0" borderId="18" xfId="54" applyFont="1" applyBorder="1" applyAlignment="1">
      <alignment horizontal="left" vertical="top" wrapText="1"/>
    </xf>
    <xf numFmtId="0" fontId="4" fillId="0" borderId="10" xfId="54" applyFont="1" applyBorder="1" applyAlignment="1">
      <alignment horizontal="left" vertical="top" wrapText="1"/>
    </xf>
    <xf numFmtId="0" fontId="9" fillId="0" borderId="10" xfId="54" applyFont="1" applyBorder="1" applyAlignment="1">
      <alignment vertical="top" wrapText="1"/>
    </xf>
    <xf numFmtId="0" fontId="9" fillId="0" borderId="11" xfId="54" applyFont="1" applyBorder="1" applyAlignment="1">
      <alignment vertical="center" wrapText="1"/>
    </xf>
    <xf numFmtId="0" fontId="12" fillId="0" borderId="16" xfId="54" applyFont="1" applyBorder="1" applyAlignment="1">
      <alignment vertical="center" wrapText="1"/>
    </xf>
    <xf numFmtId="0" fontId="4" fillId="0" borderId="16" xfId="54" applyFont="1" applyBorder="1" applyAlignment="1">
      <alignment horizontal="left" vertical="center" wrapText="1"/>
    </xf>
    <xf numFmtId="0" fontId="4" fillId="0" borderId="19" xfId="54" applyFont="1" applyBorder="1" applyAlignment="1">
      <alignment vertical="center" wrapText="1"/>
    </xf>
    <xf numFmtId="0" fontId="4" fillId="0" borderId="20" xfId="54" applyFont="1" applyBorder="1" applyAlignment="1">
      <alignment horizontal="left" vertical="top" wrapText="1"/>
    </xf>
    <xf numFmtId="0" fontId="4" fillId="0" borderId="21" xfId="54" applyFont="1" applyBorder="1" applyAlignment="1">
      <alignment horizontal="left" vertical="top" wrapText="1"/>
    </xf>
    <xf numFmtId="0" fontId="4" fillId="0" borderId="22" xfId="54" applyFont="1" applyBorder="1" applyAlignment="1">
      <alignment horizontal="left" vertical="top" wrapText="1"/>
    </xf>
    <xf numFmtId="0" fontId="9" fillId="0" borderId="20" xfId="54" applyFont="1" applyBorder="1" applyAlignment="1">
      <alignment horizontal="left" vertical="top" wrapText="1"/>
    </xf>
    <xf numFmtId="0" fontId="9" fillId="0" borderId="23" xfId="54" applyFont="1" applyBorder="1" applyAlignment="1">
      <alignment horizontal="center" vertical="center"/>
    </xf>
    <xf numFmtId="0" fontId="9" fillId="0" borderId="24" xfId="54" applyFont="1" applyBorder="1" applyAlignment="1">
      <alignment horizontal="center" vertical="center"/>
    </xf>
    <xf numFmtId="0" fontId="4" fillId="0" borderId="24" xfId="54" applyFont="1" applyBorder="1" applyAlignment="1">
      <alignment horizontal="center" vertical="center"/>
    </xf>
    <xf numFmtId="0" fontId="9" fillId="0" borderId="25" xfId="54" applyFont="1" applyBorder="1" applyAlignment="1">
      <alignment horizontal="center" vertical="center"/>
    </xf>
    <xf numFmtId="0" fontId="12" fillId="0" borderId="6" xfId="54" applyFont="1" applyBorder="1" applyAlignment="1">
      <alignment horizontal="center" vertical="center" wrapText="1"/>
    </xf>
    <xf numFmtId="0" fontId="12" fillId="0" borderId="7" xfId="54" applyFont="1" applyBorder="1" applyAlignment="1">
      <alignment horizontal="center" vertical="center" wrapText="1"/>
    </xf>
    <xf numFmtId="0" fontId="12" fillId="0" borderId="7" xfId="54" applyFont="1" applyBorder="1" applyAlignment="1">
      <alignment horizontal="center" vertical="center"/>
    </xf>
    <xf numFmtId="0" fontId="12" fillId="0" borderId="7" xfId="54" applyFont="1" applyBorder="1" applyAlignment="1">
      <alignment horizontal="right" vertical="center"/>
    </xf>
    <xf numFmtId="0" fontId="12" fillId="0" borderId="7" xfId="54" applyFont="1" applyBorder="1" applyAlignment="1">
      <alignment vertical="center"/>
    </xf>
    <xf numFmtId="0" fontId="12" fillId="0" borderId="26" xfId="54" applyFont="1" applyBorder="1" applyAlignment="1">
      <alignment horizontal="center" vertical="center"/>
    </xf>
    <xf numFmtId="0" fontId="12" fillId="0" borderId="4" xfId="54" applyFont="1" applyBorder="1" applyAlignment="1">
      <alignment horizontal="center" vertical="center" wrapText="1"/>
    </xf>
    <xf numFmtId="0" fontId="12" fillId="0" borderId="0" xfId="54" applyFont="1" applyBorder="1" applyAlignment="1">
      <alignment horizontal="center" vertical="center" wrapText="1"/>
    </xf>
    <xf numFmtId="0" fontId="12" fillId="0" borderId="0" xfId="54" applyFont="1" applyBorder="1" applyAlignment="1">
      <alignment horizontal="center" vertical="center"/>
    </xf>
    <xf numFmtId="0" fontId="12" fillId="0" borderId="0" xfId="54" applyFont="1" applyBorder="1" applyAlignment="1">
      <alignment horizontal="right" vertical="center"/>
    </xf>
    <xf numFmtId="0" fontId="12" fillId="0" borderId="0" xfId="54" applyFont="1" applyBorder="1" applyAlignment="1">
      <alignment vertical="center"/>
    </xf>
    <xf numFmtId="4" fontId="12" fillId="0" borderId="0" xfId="54" applyNumberFormat="1" applyFont="1" applyBorder="1" applyAlignment="1">
      <alignment vertical="center"/>
    </xf>
    <xf numFmtId="0" fontId="12" fillId="0" borderId="5" xfId="54" applyFont="1" applyBorder="1" applyAlignment="1">
      <alignment vertical="center"/>
    </xf>
    <xf numFmtId="0" fontId="12" fillId="0" borderId="12" xfId="54" applyFont="1" applyBorder="1" applyAlignment="1">
      <alignment horizontal="center" vertical="center" wrapText="1"/>
    </xf>
    <xf numFmtId="0" fontId="12" fillId="0" borderId="13" xfId="54" applyFont="1" applyBorder="1" applyAlignment="1">
      <alignment horizontal="center" vertical="center" wrapText="1"/>
    </xf>
    <xf numFmtId="0" fontId="12" fillId="0" borderId="13" xfId="54" applyFont="1" applyBorder="1" applyAlignment="1">
      <alignment horizontal="center" vertical="center"/>
    </xf>
    <xf numFmtId="0" fontId="12" fillId="0" borderId="13" xfId="54" applyFont="1" applyBorder="1" applyAlignment="1">
      <alignment horizontal="right" vertical="center"/>
    </xf>
    <xf numFmtId="0" fontId="12" fillId="0" borderId="13" xfId="54" applyFont="1" applyBorder="1" applyAlignment="1">
      <alignment vertical="center"/>
    </xf>
    <xf numFmtId="0" fontId="12" fillId="0" borderId="17" xfId="54" applyFont="1" applyBorder="1" applyAlignment="1">
      <alignment vertical="center"/>
    </xf>
    <xf numFmtId="4" fontId="12" fillId="0" borderId="0" xfId="54" applyNumberFormat="1" applyFont="1" applyBorder="1" applyAlignment="1">
      <alignment horizontal="right" vertical="center"/>
    </xf>
    <xf numFmtId="2" fontId="12" fillId="0" borderId="7" xfId="54" applyNumberFormat="1" applyFont="1" applyBorder="1" applyAlignment="1">
      <alignment horizontal="right" vertical="center"/>
    </xf>
    <xf numFmtId="0" fontId="12" fillId="0" borderId="0" xfId="54" applyFont="1" applyAlignment="1">
      <alignment horizontal="center" vertical="center"/>
    </xf>
    <xf numFmtId="0" fontId="4" fillId="0" borderId="0" xfId="54" applyFont="1" applyBorder="1" applyAlignment="1">
      <alignment horizontal="center" vertical="center" wrapText="1"/>
    </xf>
    <xf numFmtId="0" fontId="4" fillId="0" borderId="0" xfId="54" applyFont="1" applyBorder="1" applyAlignment="1">
      <alignment vertical="center"/>
    </xf>
    <xf numFmtId="0" fontId="4" fillId="0" borderId="0" xfId="54" applyFont="1" applyBorder="1" applyAlignment="1">
      <alignment horizontal="center" vertical="center"/>
    </xf>
    <xf numFmtId="0" fontId="4" fillId="0" borderId="5" xfId="54" applyFont="1" applyBorder="1" applyAlignment="1">
      <alignment vertical="center"/>
    </xf>
    <xf numFmtId="0" fontId="4" fillId="0" borderId="7" xfId="54" applyFont="1" applyBorder="1" applyAlignment="1">
      <alignment horizontal="center" vertical="center" wrapText="1"/>
    </xf>
    <xf numFmtId="0" fontId="4" fillId="0" borderId="7" xfId="54" applyFont="1" applyBorder="1" applyAlignment="1">
      <alignment horizontal="left" vertical="center"/>
    </xf>
    <xf numFmtId="4" fontId="12" fillId="0" borderId="7" xfId="54" applyNumberFormat="1" applyFont="1" applyBorder="1" applyAlignment="1">
      <alignment horizontal="right" vertical="center"/>
    </xf>
    <xf numFmtId="0" fontId="4" fillId="0" borderId="7" xfId="54" applyFont="1" applyBorder="1" applyAlignment="1">
      <alignment horizontal="center" vertical="center"/>
    </xf>
    <xf numFmtId="0" fontId="4" fillId="0" borderId="5" xfId="54" applyFont="1" applyBorder="1" applyAlignment="1">
      <alignment horizontal="center" vertical="center"/>
    </xf>
    <xf numFmtId="0" fontId="16" fillId="0" borderId="12" xfId="54" applyFont="1" applyBorder="1" applyAlignment="1">
      <alignment horizontal="center" vertical="center"/>
    </xf>
    <xf numFmtId="0" fontId="16" fillId="0" borderId="13" xfId="54" applyFont="1" applyBorder="1" applyAlignment="1">
      <alignment horizontal="center" vertical="center"/>
    </xf>
    <xf numFmtId="0" fontId="17" fillId="0" borderId="13" xfId="54" applyFont="1" applyBorder="1" applyAlignment="1">
      <alignment horizontal="center" vertical="center"/>
    </xf>
    <xf numFmtId="0" fontId="18" fillId="0" borderId="13" xfId="54" applyFont="1" applyBorder="1" applyAlignment="1">
      <alignment horizontal="right" vertical="center"/>
    </xf>
    <xf numFmtId="0" fontId="16" fillId="0" borderId="13" xfId="54" applyFont="1" applyBorder="1" applyAlignment="1">
      <alignment horizontal="left" vertical="center"/>
    </xf>
    <xf numFmtId="0" fontId="16" fillId="0" borderId="17" xfId="54" applyFont="1" applyBorder="1" applyAlignment="1">
      <alignment horizontal="center" vertical="center"/>
    </xf>
    <xf numFmtId="0" fontId="12" fillId="0" borderId="4" xfId="54" applyFont="1" applyBorder="1" applyAlignment="1">
      <alignment horizontal="center" vertical="center"/>
    </xf>
    <xf numFmtId="0" fontId="12" fillId="0" borderId="0" xfId="54" applyFont="1" applyBorder="1" applyAlignment="1">
      <alignment horizontal="left" vertical="center"/>
    </xf>
    <xf numFmtId="177" fontId="12" fillId="0" borderId="0" xfId="54" applyNumberFormat="1" applyFont="1" applyBorder="1" applyAlignment="1">
      <alignment horizontal="right" vertical="center"/>
    </xf>
    <xf numFmtId="0" fontId="12" fillId="0" borderId="5" xfId="54" applyFont="1" applyBorder="1" applyAlignment="1">
      <alignment horizontal="center" vertical="center"/>
    </xf>
    <xf numFmtId="0" fontId="12" fillId="0" borderId="6" xfId="54" applyFont="1" applyBorder="1" applyAlignment="1">
      <alignment horizontal="center" vertical="center"/>
    </xf>
    <xf numFmtId="0" fontId="12" fillId="0" borderId="7" xfId="54" applyFont="1" applyBorder="1" applyAlignment="1">
      <alignment horizontal="left" vertical="center"/>
    </xf>
    <xf numFmtId="0" fontId="12" fillId="0" borderId="12" xfId="54" applyFont="1" applyBorder="1" applyAlignment="1">
      <alignment horizontal="center" vertical="center"/>
    </xf>
    <xf numFmtId="0" fontId="12" fillId="0" borderId="13" xfId="54" applyFont="1" applyBorder="1" applyAlignment="1">
      <alignment horizontal="left" vertical="center"/>
    </xf>
    <xf numFmtId="0" fontId="12" fillId="0" borderId="17" xfId="54" applyFont="1" applyBorder="1" applyAlignment="1">
      <alignment horizontal="center" vertical="center"/>
    </xf>
    <xf numFmtId="0" fontId="17" fillId="0" borderId="13" xfId="54" applyFont="1" applyBorder="1" applyAlignment="1">
      <alignment horizontal="left" vertical="center"/>
    </xf>
    <xf numFmtId="0" fontId="16" fillId="0" borderId="17" xfId="54" applyFont="1" applyBorder="1" applyAlignment="1">
      <alignment horizontal="left" vertical="center"/>
    </xf>
    <xf numFmtId="0" fontId="9" fillId="0" borderId="20" xfId="54" applyFont="1" applyBorder="1" applyAlignment="1">
      <alignment horizontal="left" vertical="center" wrapText="1"/>
    </xf>
    <xf numFmtId="0" fontId="4" fillId="0" borderId="21" xfId="54" applyFont="1" applyBorder="1" applyAlignment="1">
      <alignment horizontal="left" vertical="center" wrapText="1"/>
    </xf>
    <xf numFmtId="0" fontId="4" fillId="0" borderId="21" xfId="54" applyFont="1" applyBorder="1" applyAlignment="1">
      <alignment horizontal="left" vertical="center"/>
    </xf>
    <xf numFmtId="0" fontId="4" fillId="0" borderId="22" xfId="54" applyFont="1" applyBorder="1" applyAlignment="1">
      <alignment horizontal="left" vertical="center"/>
    </xf>
    <xf numFmtId="0" fontId="4" fillId="0" borderId="27" xfId="54" applyFont="1" applyBorder="1" applyAlignment="1">
      <alignment horizontal="left" vertical="center"/>
    </xf>
    <xf numFmtId="0" fontId="4" fillId="0" borderId="28" xfId="54" applyFont="1" applyBorder="1" applyAlignment="1">
      <alignment horizontal="left" vertical="center"/>
    </xf>
    <xf numFmtId="0" fontId="4" fillId="0" borderId="29" xfId="54" applyFont="1" applyBorder="1" applyAlignment="1">
      <alignment horizontal="left" vertical="center"/>
    </xf>
    <xf numFmtId="0" fontId="19" fillId="0" borderId="0" xfId="54" applyFont="1">
      <alignment vertical="center"/>
    </xf>
    <xf numFmtId="0" fontId="20" fillId="0" borderId="0" xfId="0" applyNumberFormat="1" applyFont="1" applyFill="1" applyBorder="1" applyAlignment="1">
      <alignment vertical="center"/>
    </xf>
    <xf numFmtId="0" fontId="20" fillId="0" borderId="0" xfId="0" applyNumberFormat="1" applyFont="1" applyFill="1" applyBorder="1" applyAlignment="1"/>
    <xf numFmtId="0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2" fillId="0" borderId="0" xfId="56" applyFont="1" applyBorder="1" applyAlignment="1">
      <alignment horizontal="center" vertical="center" wrapText="1"/>
    </xf>
    <xf numFmtId="0" fontId="22" fillId="0" borderId="0" xfId="56" applyFont="1" applyBorder="1" applyAlignment="1">
      <alignment horizontal="center" vertical="top" wrapText="1"/>
    </xf>
    <xf numFmtId="0" fontId="23" fillId="0" borderId="0" xfId="56" applyFont="1" applyAlignment="1">
      <alignment horizontal="center"/>
    </xf>
    <xf numFmtId="0" fontId="20" fillId="0" borderId="0" xfId="56" applyFont="1" applyBorder="1"/>
    <xf numFmtId="0" fontId="20" fillId="0" borderId="0" xfId="0" applyFont="1" applyFill="1" applyBorder="1" applyAlignment="1">
      <alignment vertical="center"/>
    </xf>
    <xf numFmtId="0" fontId="20" fillId="0" borderId="0" xfId="56" applyNumberFormat="1" applyFont="1" applyFill="1" applyBorder="1"/>
    <xf numFmtId="0" fontId="21" fillId="0" borderId="0" xfId="56" applyNumberFormat="1" applyFont="1" applyFill="1" applyBorder="1"/>
    <xf numFmtId="0" fontId="20" fillId="0" borderId="0" xfId="55" applyNumberFormat="1" applyFont="1" applyFill="1" applyBorder="1" applyAlignment="1">
      <alignment horizontal="left"/>
    </xf>
    <xf numFmtId="0" fontId="20" fillId="0" borderId="0" xfId="0" applyNumberFormat="1" applyFont="1" applyFill="1" applyBorder="1" applyAlignment="1">
      <alignment horizontal="right" vertical="center"/>
    </xf>
    <xf numFmtId="0" fontId="21" fillId="0" borderId="0" xfId="55" applyNumberFormat="1" applyFont="1" applyFill="1" applyBorder="1" applyAlignment="1">
      <alignment horizontal="center"/>
    </xf>
    <xf numFmtId="0" fontId="21" fillId="0" borderId="0" xfId="55" applyNumberFormat="1" applyFont="1" applyFill="1" applyBorder="1" applyAlignment="1">
      <alignment horizontal="left"/>
    </xf>
    <xf numFmtId="0" fontId="24" fillId="0" borderId="0" xfId="55" applyNumberFormat="1" applyFont="1" applyFill="1" applyBorder="1" applyAlignment="1">
      <alignment horizontal="left"/>
    </xf>
    <xf numFmtId="14" fontId="21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Alignment="1">
      <alignment vertical="center"/>
    </xf>
    <xf numFmtId="0" fontId="20" fillId="2" borderId="24" xfId="56" applyNumberFormat="1" applyFont="1" applyFill="1" applyBorder="1"/>
    <xf numFmtId="0" fontId="20" fillId="2" borderId="24" xfId="56" applyNumberFormat="1" applyFont="1" applyFill="1" applyBorder="1" applyAlignment="1">
      <alignment horizontal="center"/>
    </xf>
    <xf numFmtId="0" fontId="20" fillId="2" borderId="24" xfId="56" applyNumberFormat="1" applyFont="1" applyFill="1" applyBorder="1" applyAlignment="1">
      <alignment horizontal="left"/>
    </xf>
    <xf numFmtId="178" fontId="21" fillId="0" borderId="0" xfId="0" applyNumberFormat="1" applyFont="1" applyFill="1" applyBorder="1" applyAlignment="1">
      <alignment horizontal="left"/>
    </xf>
    <xf numFmtId="178" fontId="21" fillId="0" borderId="0" xfId="0" applyNumberFormat="1" applyFont="1" applyFill="1" applyBorder="1" applyAlignment="1"/>
    <xf numFmtId="178" fontId="21" fillId="0" borderId="0" xfId="0" applyNumberFormat="1" applyFont="1" applyFill="1" applyAlignment="1">
      <alignment horizontal="center"/>
    </xf>
    <xf numFmtId="179" fontId="21" fillId="0" borderId="0" xfId="0" applyNumberFormat="1" applyFont="1" applyFill="1" applyBorder="1" applyAlignment="1">
      <alignment horizontal="center"/>
    </xf>
    <xf numFmtId="177" fontId="21" fillId="0" borderId="0" xfId="0" applyNumberFormat="1" applyFont="1" applyFill="1" applyAlignment="1">
      <alignment horizontal="center"/>
    </xf>
    <xf numFmtId="0" fontId="20" fillId="0" borderId="24" xfId="55" applyNumberFormat="1" applyFont="1" applyFill="1" applyBorder="1" applyAlignment="1"/>
    <xf numFmtId="0" fontId="20" fillId="0" borderId="24" xfId="0" applyNumberFormat="1" applyFont="1" applyFill="1" applyBorder="1" applyAlignment="1"/>
    <xf numFmtId="178" fontId="20" fillId="0" borderId="24" xfId="0" applyNumberFormat="1" applyFont="1" applyFill="1" applyBorder="1" applyAlignment="1">
      <alignment horizontal="center"/>
    </xf>
    <xf numFmtId="177" fontId="20" fillId="0" borderId="24" xfId="0" applyNumberFormat="1" applyFont="1" applyFill="1" applyBorder="1" applyAlignment="1">
      <alignment horizontal="center"/>
    </xf>
    <xf numFmtId="180" fontId="20" fillId="0" borderId="24" xfId="0" applyNumberFormat="1" applyFont="1" applyFill="1" applyBorder="1" applyAlignment="1">
      <alignment horizontal="center"/>
    </xf>
    <xf numFmtId="0" fontId="20" fillId="0" borderId="0" xfId="55" applyNumberFormat="1" applyFont="1" applyFill="1" applyBorder="1" applyAlignment="1"/>
    <xf numFmtId="0" fontId="20" fillId="0" borderId="0" xfId="0" applyNumberFormat="1" applyFont="1" applyFill="1" applyBorder="1" applyAlignment="1">
      <alignment horizontal="center"/>
    </xf>
    <xf numFmtId="180" fontId="20" fillId="0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>
      <alignment horizontal="left"/>
    </xf>
    <xf numFmtId="0" fontId="21" fillId="0" borderId="0" xfId="55" applyNumberFormat="1" applyFont="1" applyFill="1" applyBorder="1" applyAlignment="1"/>
    <xf numFmtId="0" fontId="20" fillId="0" borderId="0" xfId="56" applyNumberFormat="1" applyFont="1" applyBorder="1" applyAlignment="1">
      <alignment horizontal="left"/>
    </xf>
    <xf numFmtId="178" fontId="21" fillId="0" borderId="0" xfId="55" applyNumberFormat="1" applyFont="1" applyFill="1" applyBorder="1" applyAlignment="1">
      <alignment horizontal="left"/>
    </xf>
    <xf numFmtId="0" fontId="25" fillId="0" borderId="0" xfId="0" applyNumberFormat="1" applyFont="1" applyFill="1" applyBorder="1" applyAlignment="1">
      <alignment vertical="center"/>
    </xf>
    <xf numFmtId="0" fontId="21" fillId="0" borderId="0" xfId="56" applyNumberFormat="1" applyFont="1"/>
    <xf numFmtId="0" fontId="21" fillId="0" borderId="0" xfId="56" applyFont="1"/>
    <xf numFmtId="0" fontId="26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wrapText="1"/>
    </xf>
    <xf numFmtId="0" fontId="26" fillId="0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/>
    </xf>
    <xf numFmtId="0" fontId="26" fillId="0" borderId="13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wrapText="1"/>
    </xf>
    <xf numFmtId="14" fontId="31" fillId="3" borderId="7" xfId="0" applyNumberFormat="1" applyFont="1" applyFill="1" applyBorder="1" applyAlignment="1">
      <alignment horizontal="center"/>
    </xf>
    <xf numFmtId="0" fontId="29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/>
    </xf>
    <xf numFmtId="14" fontId="31" fillId="3" borderId="13" xfId="0" applyNumberFormat="1" applyFont="1" applyFill="1" applyBorder="1" applyAlignment="1">
      <alignment horizontal="center"/>
    </xf>
    <xf numFmtId="0" fontId="31" fillId="0" borderId="7" xfId="0" applyFont="1" applyFill="1" applyBorder="1" applyAlignment="1">
      <alignment horizontal="center"/>
    </xf>
    <xf numFmtId="0" fontId="31" fillId="0" borderId="13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left"/>
    </xf>
    <xf numFmtId="0" fontId="31" fillId="0" borderId="13" xfId="0" applyFont="1" applyFill="1" applyBorder="1" applyAlignment="1">
      <alignment horizontal="left"/>
    </xf>
    <xf numFmtId="0" fontId="31" fillId="0" borderId="7" xfId="0" applyFont="1" applyFill="1" applyBorder="1" applyAlignment="1">
      <alignment horizontal="left"/>
    </xf>
    <xf numFmtId="0" fontId="27" fillId="0" borderId="7" xfId="0" applyFont="1" applyFill="1" applyBorder="1" applyAlignment="1">
      <alignment horizontal="center"/>
    </xf>
    <xf numFmtId="0" fontId="27" fillId="0" borderId="13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left" wrapText="1"/>
    </xf>
    <xf numFmtId="0" fontId="31" fillId="0" borderId="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 vertical="top" wrapText="1"/>
    </xf>
    <xf numFmtId="0" fontId="28" fillId="0" borderId="7" xfId="0" applyFont="1" applyFill="1" applyBorder="1" applyAlignment="1">
      <alignment horizontal="center" vertical="top" wrapText="1"/>
    </xf>
    <xf numFmtId="0" fontId="28" fillId="0" borderId="10" xfId="0" applyFont="1" applyFill="1" applyBorder="1" applyAlignment="1">
      <alignment horizontal="center" vertical="top" wrapText="1"/>
    </xf>
    <xf numFmtId="0" fontId="31" fillId="0" borderId="3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center" vertical="top" wrapText="1"/>
    </xf>
    <xf numFmtId="0" fontId="31" fillId="0" borderId="15" xfId="0" applyFont="1" applyFill="1" applyBorder="1" applyAlignment="1">
      <alignment horizontal="center" vertical="top" wrapText="1"/>
    </xf>
    <xf numFmtId="0" fontId="31" fillId="0" borderId="16" xfId="0" applyFont="1" applyFill="1" applyBorder="1" applyAlignment="1">
      <alignment horizontal="center" vertical="top" wrapText="1"/>
    </xf>
    <xf numFmtId="0" fontId="28" fillId="0" borderId="21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 wrapText="1"/>
    </xf>
    <xf numFmtId="0" fontId="26" fillId="3" borderId="32" xfId="0" applyFont="1" applyFill="1" applyBorder="1" applyAlignment="1">
      <alignment horizontal="center" vertical="center" wrapText="1"/>
    </xf>
    <xf numFmtId="0" fontId="31" fillId="0" borderId="21" xfId="0" applyFont="1" applyFill="1" applyBorder="1" applyAlignment="1">
      <alignment horizontal="center" vertical="center" wrapText="1"/>
    </xf>
    <xf numFmtId="181" fontId="33" fillId="0" borderId="21" xfId="1" applyNumberFormat="1" applyFont="1" applyBorder="1" applyAlignment="1">
      <alignment horizontal="center" vertical="center" wrapText="1"/>
    </xf>
    <xf numFmtId="0" fontId="20" fillId="0" borderId="0" xfId="0" applyNumberFormat="1" applyFont="1" applyFill="1" applyBorder="1" applyAlignment="1" applyProtection="1">
      <alignment vertical="center"/>
      <protection locked="0"/>
    </xf>
    <xf numFmtId="0" fontId="26" fillId="3" borderId="21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top"/>
    </xf>
    <xf numFmtId="0" fontId="31" fillId="0" borderId="32" xfId="0" applyFont="1" applyFill="1" applyBorder="1" applyAlignment="1">
      <alignment horizontal="center" vertical="top"/>
    </xf>
    <xf numFmtId="0" fontId="31" fillId="0" borderId="31" xfId="0" applyFont="1" applyFill="1" applyBorder="1" applyAlignment="1">
      <alignment horizontal="center" vertical="top" wrapText="1"/>
    </xf>
    <xf numFmtId="0" fontId="31" fillId="0" borderId="32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>
      <alignment horizontal="center" vertical="center" wrapText="1"/>
    </xf>
    <xf numFmtId="182" fontId="35" fillId="0" borderId="0" xfId="0" applyNumberFormat="1" applyFont="1" applyFill="1" applyBorder="1" applyAlignment="1">
      <alignment horizontal="center" vertical="center" wrapText="1"/>
    </xf>
    <xf numFmtId="183" fontId="28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183" fontId="28" fillId="0" borderId="0" xfId="0" applyNumberFormat="1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0" fontId="31" fillId="0" borderId="13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left" vertical="top" wrapText="1"/>
    </xf>
    <xf numFmtId="0" fontId="31" fillId="3" borderId="13" xfId="0" applyFont="1" applyFill="1" applyBorder="1" applyAlignment="1">
      <alignment horizontal="left" vertical="top"/>
    </xf>
    <xf numFmtId="0" fontId="28" fillId="0" borderId="7" xfId="0" applyFont="1" applyFill="1" applyBorder="1" applyAlignment="1">
      <alignment horizontal="center"/>
    </xf>
    <xf numFmtId="0" fontId="31" fillId="0" borderId="7" xfId="0" applyFont="1" applyFill="1" applyBorder="1" applyAlignment="1">
      <alignment horizontal="left" wrapText="1"/>
    </xf>
    <xf numFmtId="0" fontId="37" fillId="0" borderId="7" xfId="0" applyFont="1" applyFill="1" applyBorder="1" applyAlignment="1">
      <alignment horizontal="center"/>
    </xf>
    <xf numFmtId="0" fontId="28" fillId="0" borderId="13" xfId="0" applyFont="1" applyFill="1" applyBorder="1" applyAlignment="1">
      <alignment horizontal="center"/>
    </xf>
    <xf numFmtId="0" fontId="37" fillId="0" borderId="13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left"/>
    </xf>
    <xf numFmtId="0" fontId="26" fillId="0" borderId="13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 applyProtection="1">
      <protection locked="0"/>
    </xf>
    <xf numFmtId="0" fontId="21" fillId="0" borderId="0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vertical="center"/>
      <protection locked="0"/>
    </xf>
    <xf numFmtId="0" fontId="22" fillId="0" borderId="0" xfId="56" applyFont="1" applyBorder="1" applyAlignment="1" applyProtection="1">
      <alignment horizontal="center" vertical="center" wrapText="1"/>
    </xf>
    <xf numFmtId="0" fontId="22" fillId="0" borderId="0" xfId="56" applyFont="1" applyBorder="1" applyAlignment="1" applyProtection="1">
      <alignment horizontal="center" vertical="top" wrapText="1"/>
    </xf>
    <xf numFmtId="0" fontId="23" fillId="0" borderId="0" xfId="56" applyFont="1" applyAlignment="1" applyProtection="1">
      <alignment horizontal="center"/>
    </xf>
    <xf numFmtId="0" fontId="21" fillId="0" borderId="0" xfId="0" applyFont="1" applyFill="1" applyBorder="1" applyAlignment="1" applyProtection="1">
      <alignment vertical="center"/>
    </xf>
    <xf numFmtId="0" fontId="20" fillId="0" borderId="0" xfId="56" applyNumberFormat="1" applyFont="1" applyFill="1" applyBorder="1" applyAlignment="1" applyProtection="1">
      <alignment horizontal="left"/>
    </xf>
    <xf numFmtId="0" fontId="20" fillId="0" borderId="0" xfId="56" applyFont="1" applyBorder="1" applyProtection="1"/>
    <xf numFmtId="0" fontId="20" fillId="0" borderId="0" xfId="55" applyNumberFormat="1" applyFont="1" applyFill="1" applyBorder="1" applyAlignment="1" applyProtection="1">
      <alignment horizontal="left"/>
    </xf>
    <xf numFmtId="0" fontId="20" fillId="0" borderId="0" xfId="56" applyNumberFormat="1" applyFont="1" applyFill="1" applyBorder="1" applyProtection="1"/>
    <xf numFmtId="0" fontId="20" fillId="0" borderId="0" xfId="0" applyNumberFormat="1" applyFont="1" applyFill="1" applyBorder="1" applyAlignment="1" applyProtection="1">
      <alignment horizontal="right" vertical="center"/>
    </xf>
    <xf numFmtId="0" fontId="21" fillId="0" borderId="0" xfId="55" applyNumberFormat="1" applyFont="1" applyFill="1" applyBorder="1" applyAlignment="1" applyProtection="1">
      <alignment horizontal="center"/>
    </xf>
    <xf numFmtId="0" fontId="21" fillId="0" borderId="0" xfId="55" applyNumberFormat="1" applyFont="1" applyFill="1" applyBorder="1" applyAlignment="1" applyProtection="1">
      <alignment horizontal="left"/>
    </xf>
    <xf numFmtId="0" fontId="24" fillId="0" borderId="0" xfId="55" applyNumberFormat="1" applyFont="1" applyFill="1" applyBorder="1" applyAlignment="1" applyProtection="1">
      <alignment horizontal="left"/>
    </xf>
    <xf numFmtId="14" fontId="21" fillId="0" borderId="0" xfId="0" applyNumberFormat="1" applyFont="1" applyFill="1" applyBorder="1" applyAlignment="1" applyProtection="1">
      <alignment horizontal="center" vertical="center"/>
    </xf>
    <xf numFmtId="0" fontId="21" fillId="0" borderId="0" xfId="56" applyNumberFormat="1" applyFont="1" applyFill="1" applyBorder="1" applyProtection="1"/>
    <xf numFmtId="0" fontId="20" fillId="0" borderId="0" xfId="0" applyNumberFormat="1" applyFont="1" applyFill="1" applyBorder="1" applyAlignment="1" applyProtection="1">
      <alignment horizontal="right"/>
    </xf>
    <xf numFmtId="0" fontId="24" fillId="0" borderId="0" xfId="0" applyNumberFormat="1" applyFont="1" applyFill="1" applyBorder="1" applyAlignment="1" applyProtection="1">
      <alignment vertical="center"/>
      <protection locked="0"/>
    </xf>
    <xf numFmtId="0" fontId="20" fillId="2" borderId="24" xfId="56" applyNumberFormat="1" applyFont="1" applyFill="1" applyBorder="1" applyAlignment="1" applyProtection="1">
      <alignment horizontal="left"/>
    </xf>
    <xf numFmtId="0" fontId="20" fillId="2" borderId="24" xfId="56" applyNumberFormat="1" applyFont="1" applyFill="1" applyBorder="1" applyAlignment="1" applyProtection="1">
      <alignment horizontal="center"/>
    </xf>
    <xf numFmtId="178" fontId="21" fillId="0" borderId="0" xfId="0" applyNumberFormat="1" applyFont="1" applyFill="1" applyBorder="1" applyAlignment="1" applyProtection="1">
      <alignment horizontal="left"/>
    </xf>
    <xf numFmtId="178" fontId="21" fillId="0" borderId="0" xfId="0" applyNumberFormat="1" applyFont="1" applyFill="1" applyAlignment="1" applyProtection="1">
      <alignment horizontal="left"/>
    </xf>
    <xf numFmtId="178" fontId="21" fillId="0" borderId="0" xfId="0" applyNumberFormat="1" applyFont="1" applyFill="1" applyBorder="1" applyAlignment="1" applyProtection="1">
      <alignment horizontal="right"/>
    </xf>
    <xf numFmtId="178" fontId="21" fillId="0" borderId="0" xfId="0" applyNumberFormat="1" applyFont="1" applyFill="1" applyBorder="1" applyAlignment="1" applyProtection="1">
      <alignment horizontal="center"/>
    </xf>
    <xf numFmtId="179" fontId="21" fillId="0" borderId="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Border="1" applyAlignment="1" applyProtection="1">
      <alignment horizontal="right" vertical="center"/>
      <protection locked="0"/>
    </xf>
    <xf numFmtId="0" fontId="20" fillId="0" borderId="24" xfId="55" applyNumberFormat="1" applyFont="1" applyFill="1" applyBorder="1" applyAlignment="1" applyProtection="1"/>
    <xf numFmtId="0" fontId="20" fillId="0" borderId="24" xfId="0" applyNumberFormat="1" applyFont="1" applyFill="1" applyBorder="1" applyAlignment="1" applyProtection="1">
      <alignment horizontal="center"/>
    </xf>
    <xf numFmtId="178" fontId="20" fillId="0" borderId="24" xfId="0" applyNumberFormat="1" applyFont="1" applyFill="1" applyBorder="1" applyAlignment="1" applyProtection="1">
      <alignment horizontal="center"/>
    </xf>
    <xf numFmtId="177" fontId="20" fillId="0" borderId="24" xfId="0" applyNumberFormat="1" applyFont="1" applyFill="1" applyBorder="1" applyAlignment="1" applyProtection="1">
      <alignment horizontal="center"/>
    </xf>
    <xf numFmtId="0" fontId="20" fillId="0" borderId="7" xfId="55" applyNumberFormat="1" applyFont="1" applyFill="1" applyBorder="1" applyAlignment="1" applyProtection="1">
      <alignment horizontal="right"/>
    </xf>
    <xf numFmtId="182" fontId="20" fillId="0" borderId="0" xfId="0" applyNumberFormat="1" applyFont="1" applyFill="1" applyBorder="1" applyAlignment="1" applyProtection="1">
      <alignment horizontal="center"/>
    </xf>
    <xf numFmtId="184" fontId="20" fillId="0" borderId="0" xfId="0" applyNumberFormat="1" applyFont="1" applyFill="1" applyBorder="1" applyAlignment="1" applyProtection="1">
      <alignment horizontal="left"/>
    </xf>
    <xf numFmtId="0" fontId="20" fillId="0" borderId="0" xfId="55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left"/>
      <protection locked="0"/>
    </xf>
    <xf numFmtId="0" fontId="20" fillId="0" borderId="0" xfId="0" applyNumberFormat="1" applyFont="1" applyFill="1" applyBorder="1" applyAlignment="1" applyProtection="1">
      <alignment horizontal="center"/>
      <protection locked="0"/>
    </xf>
    <xf numFmtId="178" fontId="20" fillId="0" borderId="0" xfId="0" applyNumberFormat="1" applyFont="1" applyFill="1" applyBorder="1" applyAlignment="1" applyProtection="1">
      <alignment horizontal="center"/>
      <protection locked="0"/>
    </xf>
    <xf numFmtId="184" fontId="20" fillId="0" borderId="0" xfId="0" applyNumberFormat="1" applyFont="1" applyFill="1" applyBorder="1" applyAlignment="1" applyProtection="1">
      <alignment horizontal="center"/>
      <protection locked="0"/>
    </xf>
    <xf numFmtId="0" fontId="21" fillId="0" borderId="0" xfId="55" applyNumberFormat="1" applyFont="1" applyFill="1" applyBorder="1" applyAlignment="1" applyProtection="1">
      <protection locked="0"/>
    </xf>
    <xf numFmtId="0" fontId="21" fillId="0" borderId="0" xfId="55" applyNumberFormat="1" applyFont="1" applyFill="1" applyBorder="1" applyAlignment="1" applyProtection="1">
      <alignment horizontal="left"/>
      <protection locked="0"/>
    </xf>
    <xf numFmtId="0" fontId="20" fillId="0" borderId="0" xfId="56" applyNumberFormat="1" applyFont="1" applyBorder="1" applyAlignment="1" applyProtection="1">
      <alignment horizontal="left"/>
      <protection locked="0"/>
    </xf>
    <xf numFmtId="0" fontId="20" fillId="0" borderId="0" xfId="55" applyNumberFormat="1" applyFont="1" applyFill="1" applyBorder="1" applyAlignment="1" applyProtection="1">
      <protection locked="0"/>
    </xf>
    <xf numFmtId="178" fontId="21" fillId="0" borderId="0" xfId="55" applyNumberFormat="1" applyFont="1" applyFill="1" applyBorder="1" applyAlignment="1" applyProtection="1">
      <alignment horizontal="left"/>
      <protection locked="0"/>
    </xf>
    <xf numFmtId="0" fontId="25" fillId="0" borderId="0" xfId="0" applyNumberFormat="1" applyFont="1" applyFill="1" applyBorder="1" applyAlignment="1" applyProtection="1">
      <alignment vertical="center"/>
      <protection locked="0"/>
    </xf>
    <xf numFmtId="0" fontId="21" fillId="0" borderId="0" xfId="56" applyNumberFormat="1" applyFont="1" applyProtection="1">
      <protection locked="0"/>
    </xf>
    <xf numFmtId="0" fontId="21" fillId="0" borderId="0" xfId="56" applyFont="1" applyProtection="1"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0" fontId="38" fillId="0" borderId="0" xfId="0" applyFont="1" applyFill="1" applyBorder="1" applyAlignment="1" applyProtection="1">
      <alignment horizontal="center" vertical="center"/>
      <protection locked="0"/>
    </xf>
    <xf numFmtId="0" fontId="38" fillId="0" borderId="0" xfId="0" applyFont="1" applyFill="1" applyBorder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left" vertical="center"/>
      <protection locked="0"/>
    </xf>
    <xf numFmtId="0" fontId="21" fillId="4" borderId="33" xfId="0" applyFont="1" applyFill="1" applyBorder="1" applyAlignment="1" applyProtection="1">
      <alignment horizontal="left" vertical="center"/>
    </xf>
    <xf numFmtId="0" fontId="21" fillId="4" borderId="34" xfId="0" applyFont="1" applyFill="1" applyBorder="1" applyAlignment="1" applyProtection="1">
      <alignment horizontal="left" vertical="center"/>
    </xf>
    <xf numFmtId="0" fontId="21" fillId="4" borderId="35" xfId="0" applyFont="1" applyFill="1" applyBorder="1" applyAlignment="1" applyProtection="1">
      <alignment horizontal="left" vertical="center"/>
    </xf>
    <xf numFmtId="185" fontId="21" fillId="0" borderId="0" xfId="0" applyNumberFormat="1" applyFont="1" applyFill="1" applyBorder="1" applyAlignment="1" applyProtection="1">
      <alignment vertical="center"/>
      <protection locked="0"/>
    </xf>
    <xf numFmtId="0" fontId="39" fillId="5" borderId="33" xfId="0" applyFont="1" applyFill="1" applyBorder="1" applyAlignment="1" applyProtection="1">
      <alignment horizontal="center" vertical="center"/>
    </xf>
    <xf numFmtId="0" fontId="39" fillId="5" borderId="34" xfId="0" applyFont="1" applyFill="1" applyBorder="1" applyAlignment="1" applyProtection="1">
      <alignment horizontal="center" vertical="center"/>
    </xf>
    <xf numFmtId="0" fontId="39" fillId="5" borderId="35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vertical="center"/>
      <protection locked="0"/>
    </xf>
    <xf numFmtId="0" fontId="21" fillId="0" borderId="36" xfId="0" applyFont="1" applyFill="1" applyBorder="1" applyAlignment="1" applyProtection="1">
      <alignment horizontal="left" vertical="center"/>
    </xf>
    <xf numFmtId="0" fontId="21" fillId="0" borderId="37" xfId="0" applyFont="1" applyFill="1" applyBorder="1" applyAlignment="1" applyProtection="1">
      <alignment horizontal="left" vertical="center"/>
    </xf>
    <xf numFmtId="0" fontId="21" fillId="0" borderId="38" xfId="0" applyFont="1" applyFill="1" applyBorder="1" applyAlignment="1" applyProtection="1">
      <alignment horizontal="left" vertical="center"/>
    </xf>
    <xf numFmtId="0" fontId="21" fillId="6" borderId="39" xfId="0" applyFont="1" applyFill="1" applyBorder="1" applyAlignment="1" applyProtection="1">
      <alignment vertical="center"/>
    </xf>
    <xf numFmtId="0" fontId="21" fillId="0" borderId="40" xfId="0" applyFont="1" applyFill="1" applyBorder="1" applyAlignment="1" applyProtection="1">
      <alignment horizontal="left" vertical="center"/>
    </xf>
    <xf numFmtId="0" fontId="21" fillId="0" borderId="23" xfId="0" applyFont="1" applyFill="1" applyBorder="1" applyAlignment="1" applyProtection="1">
      <alignment horizontal="left" vertical="center" wrapText="1"/>
    </xf>
    <xf numFmtId="0" fontId="21" fillId="0" borderId="24" xfId="0" applyFont="1" applyFill="1" applyBorder="1" applyAlignment="1" applyProtection="1">
      <alignment horizontal="left" vertical="center" wrapText="1"/>
    </xf>
    <xf numFmtId="0" fontId="21" fillId="0" borderId="25" xfId="0" applyFont="1" applyFill="1" applyBorder="1" applyAlignment="1" applyProtection="1">
      <alignment horizontal="left" vertical="center" wrapText="1"/>
    </xf>
    <xf numFmtId="0" fontId="21" fillId="6" borderId="20" xfId="0" applyFont="1" applyFill="1" applyBorder="1" applyAlignment="1" applyProtection="1">
      <alignment vertical="center"/>
    </xf>
    <xf numFmtId="0" fontId="40" fillId="0" borderId="31" xfId="0" applyFont="1" applyFill="1" applyBorder="1" applyAlignment="1" applyProtection="1">
      <alignment vertical="center"/>
    </xf>
    <xf numFmtId="0" fontId="40" fillId="0" borderId="25" xfId="0" applyFont="1" applyFill="1" applyBorder="1" applyAlignment="1" applyProtection="1">
      <alignment vertical="center"/>
    </xf>
    <xf numFmtId="0" fontId="21" fillId="6" borderId="18" xfId="0" applyFont="1" applyFill="1" applyBorder="1" applyAlignment="1" applyProtection="1">
      <alignment vertical="center"/>
    </xf>
    <xf numFmtId="49" fontId="21" fillId="0" borderId="0" xfId="0" applyNumberFormat="1" applyFont="1" applyFill="1" applyBorder="1" applyAlignment="1" applyProtection="1">
      <alignment vertical="center"/>
      <protection locked="0"/>
    </xf>
    <xf numFmtId="0" fontId="21" fillId="0" borderId="41" xfId="0" applyFont="1" applyFill="1" applyBorder="1" applyAlignment="1" applyProtection="1">
      <alignment horizontal="left" vertical="center"/>
    </xf>
    <xf numFmtId="0" fontId="21" fillId="0" borderId="42" xfId="0" applyFont="1" applyFill="1" applyBorder="1" applyAlignment="1" applyProtection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</xf>
    <xf numFmtId="0" fontId="20" fillId="6" borderId="12" xfId="0" applyFont="1" applyFill="1" applyBorder="1" applyAlignment="1" applyProtection="1">
      <alignment vertical="center"/>
      <protection locked="0"/>
    </xf>
    <xf numFmtId="0" fontId="41" fillId="0" borderId="15" xfId="0" applyFont="1" applyFill="1" applyBorder="1" applyAlignment="1" applyProtection="1">
      <alignment horizontal="left" vertical="center"/>
      <protection locked="0"/>
    </xf>
    <xf numFmtId="0" fontId="41" fillId="0" borderId="17" xfId="0" applyFont="1" applyFill="1" applyBorder="1" applyAlignment="1" applyProtection="1">
      <alignment horizontal="left" vertical="center"/>
      <protection locked="0"/>
    </xf>
    <xf numFmtId="0" fontId="21" fillId="0" borderId="36" xfId="0" applyFont="1" applyFill="1" applyBorder="1" applyAlignment="1" applyProtection="1">
      <alignment horizontal="left" vertical="center" wrapText="1"/>
      <protection locked="0"/>
    </xf>
    <xf numFmtId="0" fontId="21" fillId="0" borderId="37" xfId="0" applyFont="1" applyFill="1" applyBorder="1" applyAlignment="1" applyProtection="1">
      <alignment horizontal="left" vertical="center" wrapText="1"/>
      <protection locked="0"/>
    </xf>
    <xf numFmtId="0" fontId="21" fillId="0" borderId="38" xfId="0" applyFont="1" applyFill="1" applyBorder="1" applyAlignment="1" applyProtection="1">
      <alignment horizontal="left" vertical="center" wrapText="1"/>
      <protection locked="0"/>
    </xf>
    <xf numFmtId="0" fontId="20" fillId="6" borderId="6" xfId="0" applyFont="1" applyFill="1" applyBorder="1" applyAlignment="1" applyProtection="1">
      <alignment vertical="center"/>
      <protection locked="0"/>
    </xf>
    <xf numFmtId="49" fontId="41" fillId="0" borderId="9" xfId="0" applyNumberFormat="1" applyFont="1" applyFill="1" applyBorder="1" applyAlignment="1" applyProtection="1">
      <alignment horizontal="left" vertical="center"/>
      <protection locked="0"/>
    </xf>
    <xf numFmtId="49" fontId="41" fillId="0" borderId="26" xfId="0" applyNumberFormat="1" applyFont="1" applyFill="1" applyBorder="1" applyAlignment="1" applyProtection="1">
      <alignment horizontal="left" vertical="center"/>
      <protection locked="0"/>
    </xf>
    <xf numFmtId="0" fontId="21" fillId="0" borderId="23" xfId="0" applyFont="1" applyFill="1" applyBorder="1" applyAlignment="1" applyProtection="1">
      <alignment horizontal="left" vertical="center" wrapText="1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4" fillId="6" borderId="12" xfId="0" applyFont="1" applyFill="1" applyBorder="1" applyAlignment="1" applyProtection="1">
      <alignment horizontal="left" vertical="center"/>
      <protection locked="0"/>
    </xf>
    <xf numFmtId="0" fontId="21" fillId="7" borderId="15" xfId="0" applyFont="1" applyFill="1" applyBorder="1" applyAlignment="1" applyProtection="1">
      <alignment horizontal="left" vertical="center"/>
      <protection locked="0"/>
    </xf>
    <xf numFmtId="0" fontId="21" fillId="7" borderId="17" xfId="0" applyFont="1" applyFill="1" applyBorder="1" applyAlignment="1" applyProtection="1">
      <alignment horizontal="left" vertical="center"/>
      <protection locked="0"/>
    </xf>
    <xf numFmtId="0" fontId="20" fillId="6" borderId="23" xfId="0" applyFont="1" applyFill="1" applyBorder="1" applyAlignment="1" applyProtection="1">
      <alignment horizontal="left" vertical="center"/>
      <protection locked="0"/>
    </xf>
    <xf numFmtId="0" fontId="21" fillId="0" borderId="31" xfId="0" applyFont="1" applyFill="1" applyBorder="1" applyAlignment="1" applyProtection="1">
      <alignment horizontal="left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1" fillId="0" borderId="42" xfId="0" applyFont="1" applyFill="1" applyBorder="1" applyAlignment="1" applyProtection="1">
      <alignment horizontal="left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 wrapText="1"/>
      <protection locked="0"/>
    </xf>
    <xf numFmtId="0" fontId="21" fillId="0" borderId="25" xfId="0" applyFont="1" applyFill="1" applyBorder="1" applyAlignment="1" applyProtection="1">
      <alignment horizontal="left" vertical="center" wrapText="1"/>
      <protection locked="0"/>
    </xf>
    <xf numFmtId="0" fontId="21" fillId="0" borderId="41" xfId="0" applyFont="1" applyFill="1" applyBorder="1" applyAlignment="1" applyProtection="1">
      <alignment horizontal="left" vertical="center" wrapText="1"/>
      <protection locked="0"/>
    </xf>
    <xf numFmtId="0" fontId="21" fillId="0" borderId="42" xfId="0" applyFont="1" applyFill="1" applyBorder="1" applyAlignment="1" applyProtection="1">
      <alignment horizontal="left" vertical="center" wrapText="1"/>
      <protection locked="0"/>
    </xf>
    <xf numFmtId="0" fontId="21" fillId="0" borderId="43" xfId="0" applyFont="1" applyFill="1" applyBorder="1" applyAlignment="1" applyProtection="1">
      <alignment horizontal="left" vertical="center" wrapText="1"/>
      <protection locked="0"/>
    </xf>
    <xf numFmtId="0" fontId="21" fillId="4" borderId="33" xfId="53" applyFont="1" applyFill="1" applyBorder="1" applyAlignment="1" applyProtection="1">
      <alignment horizontal="left" vertical="center"/>
    </xf>
    <xf numFmtId="0" fontId="21" fillId="4" borderId="34" xfId="53" applyFont="1" applyFill="1" applyBorder="1" applyAlignment="1" applyProtection="1">
      <alignment horizontal="left" vertical="center"/>
    </xf>
    <xf numFmtId="0" fontId="21" fillId="4" borderId="35" xfId="53" applyFont="1" applyFill="1" applyBorder="1" applyAlignment="1" applyProtection="1">
      <alignment horizontal="left" vertical="center"/>
    </xf>
    <xf numFmtId="0" fontId="24" fillId="6" borderId="23" xfId="0" applyFont="1" applyFill="1" applyBorder="1" applyAlignment="1" applyProtection="1">
      <alignment horizontal="left" vertical="center"/>
      <protection locked="0"/>
    </xf>
    <xf numFmtId="0" fontId="42" fillId="0" borderId="0" xfId="0" applyFont="1" applyFill="1" applyProtection="1">
      <protection locked="0"/>
    </xf>
    <xf numFmtId="0" fontId="41" fillId="0" borderId="4" xfId="53" applyFont="1" applyFill="1" applyBorder="1" applyAlignment="1" applyProtection="1">
      <alignment horizontal="left" vertical="center"/>
      <protection locked="0"/>
    </xf>
    <xf numFmtId="0" fontId="41" fillId="0" borderId="0" xfId="53" applyFont="1" applyFill="1" applyBorder="1" applyAlignment="1" applyProtection="1">
      <alignment horizontal="left" vertical="center"/>
      <protection locked="0"/>
    </xf>
    <xf numFmtId="0" fontId="41" fillId="0" borderId="5" xfId="53" applyFont="1" applyFill="1" applyBorder="1" applyAlignment="1" applyProtection="1">
      <alignment horizontal="left" vertical="center"/>
      <protection locked="0"/>
    </xf>
    <xf numFmtId="0" fontId="20" fillId="0" borderId="31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21" fillId="0" borderId="4" xfId="53" applyFont="1" applyFill="1" applyBorder="1" applyAlignment="1" applyProtection="1">
      <alignment horizontal="left" vertical="center"/>
      <protection locked="0"/>
    </xf>
    <xf numFmtId="0" fontId="21" fillId="0" borderId="0" xfId="53" applyFont="1" applyFill="1" applyBorder="1" applyAlignment="1" applyProtection="1">
      <alignment horizontal="left" vertical="center"/>
      <protection locked="0"/>
    </xf>
    <xf numFmtId="0" fontId="21" fillId="0" borderId="5" xfId="53" applyFont="1" applyFill="1" applyBorder="1" applyAlignment="1" applyProtection="1">
      <alignment horizontal="left" vertical="center"/>
      <protection locked="0"/>
    </xf>
    <xf numFmtId="185" fontId="21" fillId="0" borderId="0" xfId="0" applyNumberFormat="1" applyFont="1" applyFill="1" applyBorder="1" applyAlignment="1" applyProtection="1">
      <alignment horizontal="left" vertical="center"/>
      <protection locked="0"/>
    </xf>
    <xf numFmtId="178" fontId="20" fillId="0" borderId="0" xfId="0" applyNumberFormat="1" applyFont="1" applyFill="1" applyBorder="1" applyAlignment="1" applyProtection="1">
      <alignment horizontal="left" vertical="center"/>
      <protection locked="0"/>
    </xf>
    <xf numFmtId="0" fontId="43" fillId="0" borderId="0" xfId="0" applyFont="1" applyFill="1" applyBorder="1" applyAlignment="1" applyProtection="1">
      <alignment vertical="center"/>
      <protection locked="0"/>
    </xf>
    <xf numFmtId="0" fontId="21" fillId="0" borderId="44" xfId="0" applyFont="1" applyFill="1" applyBorder="1" applyAlignment="1" applyProtection="1">
      <alignment horizontal="left" vertical="center"/>
      <protection locked="0"/>
    </xf>
    <xf numFmtId="0" fontId="21" fillId="0" borderId="45" xfId="0" applyFont="1" applyFill="1" applyBorder="1" applyAlignment="1" applyProtection="1">
      <alignment horizontal="left" vertical="center"/>
      <protection locked="0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20" fillId="6" borderId="41" xfId="0" applyFont="1" applyFill="1" applyBorder="1" applyAlignment="1" applyProtection="1">
      <alignment horizontal="left" vertical="center"/>
      <protection locked="0"/>
    </xf>
    <xf numFmtId="14" fontId="21" fillId="0" borderId="47" xfId="0" applyNumberFormat="1" applyFont="1" applyFill="1" applyBorder="1" applyAlignment="1" applyProtection="1">
      <alignment horizontal="left" vertical="center"/>
      <protection locked="0"/>
    </xf>
    <xf numFmtId="14" fontId="21" fillId="0" borderId="43" xfId="0" applyNumberFormat="1" applyFont="1" applyFill="1" applyBorder="1" applyAlignment="1" applyProtection="1">
      <alignment horizontal="left" vertical="center"/>
      <protection locked="0"/>
    </xf>
    <xf numFmtId="0" fontId="21" fillId="4" borderId="48" xfId="0" applyFont="1" applyFill="1" applyBorder="1" applyAlignment="1" applyProtection="1">
      <alignment horizontal="center" vertical="center"/>
      <protection locked="0"/>
    </xf>
    <xf numFmtId="0" fontId="21" fillId="5" borderId="49" xfId="0" applyFont="1" applyFill="1" applyBorder="1" applyAlignment="1" applyProtection="1">
      <alignment horizontal="center" vertical="center"/>
      <protection locked="0"/>
    </xf>
    <xf numFmtId="0" fontId="0" fillId="5" borderId="50" xfId="0" applyFont="1" applyFill="1" applyBorder="1" applyAlignment="1" applyProtection="1">
      <alignment horizontal="center" vertical="center"/>
      <protection locked="0"/>
    </xf>
    <xf numFmtId="0" fontId="21" fillId="5" borderId="50" xfId="0" applyFont="1" applyFill="1" applyBorder="1" applyAlignment="1" applyProtection="1">
      <alignment horizontal="center" vertical="center"/>
      <protection locked="0"/>
    </xf>
    <xf numFmtId="185" fontId="21" fillId="5" borderId="50" xfId="0" applyNumberFormat="1" applyFont="1" applyFill="1" applyBorder="1" applyAlignment="1" applyProtection="1">
      <alignment horizontal="center" vertical="center"/>
      <protection locked="0"/>
    </xf>
    <xf numFmtId="185" fontId="21" fillId="4" borderId="50" xfId="0" applyNumberFormat="1" applyFont="1" applyFill="1" applyBorder="1" applyAlignment="1" applyProtection="1">
      <alignment horizontal="center" vertical="center"/>
      <protection locked="0"/>
    </xf>
    <xf numFmtId="186" fontId="21" fillId="5" borderId="50" xfId="0" applyNumberFormat="1" applyFont="1" applyFill="1" applyBorder="1" applyAlignment="1" applyProtection="1">
      <alignment horizontal="center" vertical="center"/>
      <protection locked="0"/>
    </xf>
    <xf numFmtId="0" fontId="21" fillId="5" borderId="50" xfId="0" applyFont="1" applyFill="1" applyBorder="1" applyAlignment="1" applyProtection="1">
      <alignment horizontal="center" vertical="center" wrapText="1"/>
      <protection locked="0"/>
    </xf>
    <xf numFmtId="0" fontId="21" fillId="4" borderId="50" xfId="0" applyFont="1" applyFill="1" applyBorder="1" applyAlignment="1" applyProtection="1">
      <alignment horizontal="center" vertical="center" wrapText="1"/>
      <protection locked="0"/>
    </xf>
    <xf numFmtId="0" fontId="21" fillId="4" borderId="49" xfId="0" applyFont="1" applyFill="1" applyBorder="1" applyAlignment="1" applyProtection="1">
      <alignment horizontal="center" vertical="center" wrapText="1"/>
      <protection locked="0"/>
    </xf>
    <xf numFmtId="0" fontId="21" fillId="5" borderId="49" xfId="0" applyFont="1" applyFill="1" applyBorder="1" applyAlignment="1" applyProtection="1">
      <alignment horizontal="center" vertical="center" wrapText="1"/>
      <protection locked="0"/>
    </xf>
    <xf numFmtId="0" fontId="21" fillId="5" borderId="51" xfId="0" applyFont="1" applyFill="1" applyBorder="1" applyAlignment="1" applyProtection="1">
      <alignment horizontal="center" vertical="center"/>
      <protection locked="0"/>
    </xf>
    <xf numFmtId="0" fontId="21" fillId="5" borderId="0" xfId="0" applyFont="1" applyFill="1" applyBorder="1" applyAlignment="1" applyProtection="1">
      <alignment horizontal="center" vertical="center"/>
      <protection locked="0"/>
    </xf>
    <xf numFmtId="0" fontId="38" fillId="0" borderId="21" xfId="0" applyFont="1" applyFill="1" applyBorder="1" applyAlignment="1" applyProtection="1">
      <alignment horizontal="center" vertical="center"/>
      <protection locked="0"/>
    </xf>
    <xf numFmtId="0" fontId="38" fillId="0" borderId="21" xfId="0" applyFont="1" applyFill="1" applyBorder="1" applyAlignment="1">
      <alignment horizontal="center" vertical="center" wrapText="1"/>
    </xf>
    <xf numFmtId="0" fontId="44" fillId="0" borderId="21" xfId="0" applyFont="1" applyFill="1" applyBorder="1" applyAlignment="1">
      <alignment horizontal="center" vertical="center" wrapText="1"/>
    </xf>
    <xf numFmtId="0" fontId="38" fillId="0" borderId="21" xfId="0" applyFont="1" applyFill="1" applyBorder="1" applyAlignment="1">
      <alignment horizontal="center" vertical="center"/>
    </xf>
    <xf numFmtId="177" fontId="38" fillId="0" borderId="21" xfId="0" applyNumberFormat="1" applyFont="1" applyFill="1" applyBorder="1" applyAlignment="1">
      <alignment horizontal="center" vertical="center"/>
    </xf>
    <xf numFmtId="177" fontId="38" fillId="0" borderId="52" xfId="0" applyNumberFormat="1" applyFont="1" applyFill="1" applyBorder="1" applyAlignment="1">
      <alignment horizontal="center" vertical="center"/>
    </xf>
    <xf numFmtId="0" fontId="38" fillId="0" borderId="21" xfId="0" applyNumberFormat="1" applyFont="1" applyFill="1" applyBorder="1" applyAlignment="1">
      <alignment horizontal="center" vertical="center" wrapText="1"/>
    </xf>
    <xf numFmtId="177" fontId="38" fillId="0" borderId="0" xfId="0" applyNumberFormat="1" applyFont="1" applyFill="1" applyBorder="1" applyAlignment="1" applyProtection="1">
      <alignment horizontal="center" vertical="center"/>
      <protection locked="0"/>
    </xf>
    <xf numFmtId="2" fontId="38" fillId="0" borderId="0" xfId="0" applyNumberFormat="1" applyFont="1" applyFill="1" applyBorder="1" applyAlignment="1" applyProtection="1">
      <alignment horizontal="left" vertical="center"/>
      <protection locked="0"/>
    </xf>
    <xf numFmtId="0" fontId="38" fillId="0" borderId="0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>
      <alignment horizontal="center" vertical="center" wrapText="1"/>
    </xf>
    <xf numFmtId="177" fontId="45" fillId="0" borderId="0" xfId="0" applyNumberFormat="1" applyFont="1" applyFill="1" applyBorder="1" applyAlignment="1" applyProtection="1">
      <alignment horizontal="center" vertical="center"/>
      <protection locked="0"/>
    </xf>
    <xf numFmtId="177" fontId="38" fillId="0" borderId="10" xfId="0" applyNumberFormat="1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0" fontId="46" fillId="0" borderId="21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/>
    </xf>
    <xf numFmtId="177" fontId="48" fillId="0" borderId="52" xfId="0" applyNumberFormat="1" applyFont="1" applyFill="1" applyBorder="1" applyAlignment="1">
      <alignment horizontal="center" vertical="center"/>
    </xf>
    <xf numFmtId="177" fontId="47" fillId="0" borderId="21" xfId="0" applyNumberFormat="1" applyFont="1" applyFill="1" applyBorder="1" applyAlignment="1">
      <alignment horizontal="center" vertical="center"/>
    </xf>
    <xf numFmtId="0" fontId="21" fillId="8" borderId="53" xfId="0" applyFont="1" applyFill="1" applyBorder="1" applyAlignment="1" applyProtection="1">
      <alignment horizontal="center" vertical="center"/>
      <protection locked="0"/>
    </xf>
    <xf numFmtId="0" fontId="21" fillId="8" borderId="54" xfId="0" applyFont="1" applyFill="1" applyBorder="1" applyAlignment="1" applyProtection="1">
      <alignment horizontal="center" vertical="center"/>
      <protection locked="0"/>
    </xf>
    <xf numFmtId="0" fontId="21" fillId="8" borderId="45" xfId="0" applyFont="1" applyFill="1" applyBorder="1" applyAlignment="1" applyProtection="1">
      <alignment horizontal="center" vertical="center"/>
      <protection locked="0"/>
    </xf>
    <xf numFmtId="0" fontId="21" fillId="8" borderId="55" xfId="0" applyFont="1" applyFill="1" applyBorder="1" applyAlignment="1" applyProtection="1">
      <alignment horizontal="center" vertical="center"/>
      <protection locked="0"/>
    </xf>
    <xf numFmtId="177" fontId="21" fillId="9" borderId="56" xfId="0" applyNumberFormat="1" applyFont="1" applyFill="1" applyBorder="1" applyAlignment="1" applyProtection="1">
      <alignment horizontal="center" vertical="center"/>
      <protection locked="0"/>
    </xf>
    <xf numFmtId="177" fontId="21" fillId="8" borderId="56" xfId="0" applyNumberFormat="1" applyFont="1" applyFill="1" applyBorder="1" applyAlignment="1" applyProtection="1">
      <alignment horizontal="center" vertical="center"/>
      <protection locked="0"/>
    </xf>
    <xf numFmtId="185" fontId="21" fillId="8" borderId="56" xfId="0" applyNumberFormat="1" applyFont="1" applyFill="1" applyBorder="1" applyAlignment="1" applyProtection="1">
      <alignment horizontal="center" vertical="center"/>
      <protection locked="0"/>
    </xf>
    <xf numFmtId="182" fontId="21" fillId="9" borderId="56" xfId="0" applyNumberFormat="1" applyFont="1" applyFill="1" applyBorder="1" applyAlignment="1" applyProtection="1">
      <alignment horizontal="center" vertical="center"/>
      <protection locked="0"/>
    </xf>
    <xf numFmtId="187" fontId="21" fillId="9" borderId="56" xfId="0" applyNumberFormat="1" applyFont="1" applyFill="1" applyBorder="1" applyAlignment="1" applyProtection="1">
      <alignment horizontal="center" vertical="center"/>
      <protection locked="0"/>
    </xf>
    <xf numFmtId="0" fontId="38" fillId="10" borderId="21" xfId="0" applyFont="1" applyFill="1" applyBorder="1" applyAlignment="1">
      <alignment horizontal="center" vertical="center"/>
    </xf>
    <xf numFmtId="0" fontId="21" fillId="8" borderId="56" xfId="0" applyFont="1" applyFill="1" applyBorder="1" applyAlignment="1" applyProtection="1">
      <alignment horizontal="center" vertical="center"/>
      <protection locked="0"/>
    </xf>
    <xf numFmtId="177" fontId="21" fillId="8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vertical="center"/>
      <protection locked="0"/>
    </xf>
    <xf numFmtId="0" fontId="49" fillId="0" borderId="0" xfId="6" applyNumberFormat="1" applyFont="1" applyFill="1" applyBorder="1" applyAlignment="1" applyProtection="1">
      <alignment vertical="center"/>
      <protection locked="0"/>
    </xf>
    <xf numFmtId="0" fontId="21" fillId="0" borderId="0" xfId="53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>
      <alignment horizontal="center" vertical="center" wrapText="1"/>
    </xf>
    <xf numFmtId="0" fontId="21" fillId="0" borderId="0" xfId="53" applyFont="1" applyFill="1" applyBorder="1" applyAlignment="1" applyProtection="1">
      <alignment vertical="center"/>
      <protection locked="0"/>
    </xf>
    <xf numFmtId="0" fontId="40" fillId="0" borderId="0" xfId="0" applyFont="1" applyFill="1" applyBorder="1" applyAlignment="1" applyProtection="1">
      <alignment horizontal="left" vertical="center"/>
      <protection locked="0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14 3" xfId="49"/>
    <cellStyle name="常规 5 5 2 2 2 2" xfId="50"/>
    <cellStyle name="Normal 2 2" xfId="51"/>
    <cellStyle name="標準_パイプＤＣＭ20110221" xfId="52"/>
    <cellStyle name="常规 2" xfId="53"/>
    <cellStyle name="常规 2 2" xfId="54"/>
    <cellStyle name="常规_Sheet1" xfId="55"/>
    <cellStyle name="常规_Sheet2" xfId="56"/>
    <cellStyle name="표준_060116 Sale&amp;Offer 최종본" xfId="57"/>
  </cellStyles>
  <tableStyles count="0" defaultTableStyle="TableStyleMedium2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26</xdr:row>
      <xdr:rowOff>0</xdr:rowOff>
    </xdr:from>
    <xdr:ext cx="305435" cy="303530"/>
    <xdr:sp>
      <xdr:nvSpPr>
        <xdr:cNvPr id="74" name="shape1474"/>
        <xdr:cNvSpPr/>
      </xdr:nvSpPr>
      <xdr:spPr>
        <a:xfrm>
          <a:off x="9812020" y="61436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6</xdr:col>
      <xdr:colOff>0</xdr:colOff>
      <xdr:row>28</xdr:row>
      <xdr:rowOff>0</xdr:rowOff>
    </xdr:from>
    <xdr:ext cx="305435" cy="303530"/>
    <xdr:sp>
      <xdr:nvSpPr>
        <xdr:cNvPr id="254" name="shape4"/>
        <xdr:cNvSpPr/>
      </xdr:nvSpPr>
      <xdr:spPr>
        <a:xfrm>
          <a:off x="9812020" y="67532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6</xdr:col>
      <xdr:colOff>0</xdr:colOff>
      <xdr:row>25</xdr:row>
      <xdr:rowOff>0</xdr:rowOff>
    </xdr:from>
    <xdr:ext cx="305435" cy="303530"/>
    <xdr:sp>
      <xdr:nvSpPr>
        <xdr:cNvPr id="650" name="shape4"/>
        <xdr:cNvSpPr/>
      </xdr:nvSpPr>
      <xdr:spPr>
        <a:xfrm>
          <a:off x="9812020" y="58388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6</xdr:col>
      <xdr:colOff>0</xdr:colOff>
      <xdr:row>27</xdr:row>
      <xdr:rowOff>0</xdr:rowOff>
    </xdr:from>
    <xdr:ext cx="305435" cy="303530"/>
    <xdr:sp>
      <xdr:nvSpPr>
        <xdr:cNvPr id="2450" name="shape1789"/>
        <xdr:cNvSpPr/>
      </xdr:nvSpPr>
      <xdr:spPr>
        <a:xfrm>
          <a:off x="9812020" y="64484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5</xdr:col>
      <xdr:colOff>941070</xdr:colOff>
      <xdr:row>29</xdr:row>
      <xdr:rowOff>429260</xdr:rowOff>
    </xdr:from>
    <xdr:ext cx="305435" cy="303530"/>
    <xdr:sp>
      <xdr:nvSpPr>
        <xdr:cNvPr id="4465" name="shape1614"/>
        <xdr:cNvSpPr/>
      </xdr:nvSpPr>
      <xdr:spPr>
        <a:xfrm>
          <a:off x="9610090" y="73628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6</xdr:col>
      <xdr:colOff>0</xdr:colOff>
      <xdr:row>35</xdr:row>
      <xdr:rowOff>0</xdr:rowOff>
    </xdr:from>
    <xdr:ext cx="305435" cy="303530"/>
    <xdr:sp>
      <xdr:nvSpPr>
        <xdr:cNvPr id="7994" name="shape1789"/>
        <xdr:cNvSpPr/>
      </xdr:nvSpPr>
      <xdr:spPr>
        <a:xfrm>
          <a:off x="9812020" y="88868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5</xdr:col>
      <xdr:colOff>1052830</xdr:colOff>
      <xdr:row>27</xdr:row>
      <xdr:rowOff>585470</xdr:rowOff>
    </xdr:from>
    <xdr:ext cx="305435" cy="303530"/>
    <xdr:sp>
      <xdr:nvSpPr>
        <xdr:cNvPr id="9505" name="shape1614"/>
        <xdr:cNvSpPr/>
      </xdr:nvSpPr>
      <xdr:spPr>
        <a:xfrm>
          <a:off x="9721850" y="6753225"/>
          <a:ext cx="305435" cy="30353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hscode.net/IntegrateQueries/QueryYS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84"/>
  <sheetViews>
    <sheetView tabSelected="1" zoomScale="55" zoomScaleNormal="55" topLeftCell="A28" workbookViewId="0">
      <selection activeCell="O47" sqref="O47"/>
    </sheetView>
  </sheetViews>
  <sheetFormatPr defaultColWidth="9" defaultRowHeight="17.25"/>
  <cols>
    <col min="1" max="1" width="8.875" style="237" customWidth="1"/>
    <col min="2" max="2" width="45.5333333333333" style="237" customWidth="1"/>
    <col min="3" max="3" width="22.5" style="237" customWidth="1"/>
    <col min="4" max="4" width="22.8583333333333" style="237" customWidth="1"/>
    <col min="5" max="5" width="14" style="237" customWidth="1"/>
    <col min="6" max="6" width="15" style="237" customWidth="1"/>
    <col min="7" max="7" width="16.375" style="237" customWidth="1"/>
    <col min="8" max="8" width="21.9083333333333" style="237" customWidth="1"/>
    <col min="9" max="11" width="10.625" style="237" customWidth="1"/>
    <col min="12" max="12" width="9" style="237"/>
    <col min="13" max="13" width="9.4" style="237" customWidth="1"/>
    <col min="14" max="14" width="10.8833333333333" style="237" customWidth="1"/>
    <col min="15" max="15" width="56.35" style="237" customWidth="1"/>
    <col min="16" max="16" width="33.4" style="237" customWidth="1"/>
    <col min="17" max="17" width="12.625" style="237" customWidth="1"/>
    <col min="18" max="18" width="68.6" style="285" customWidth="1"/>
    <col min="19" max="16384" width="9" style="237"/>
  </cols>
  <sheetData>
    <row r="1" ht="18.75" spans="1:12">
      <c r="A1" s="286" t="s">
        <v>0</v>
      </c>
      <c r="B1" s="287"/>
      <c r="C1" s="288"/>
      <c r="D1" s="289"/>
      <c r="E1" s="289"/>
      <c r="F1" s="290" t="s">
        <v>1</v>
      </c>
      <c r="G1" s="291"/>
      <c r="H1" s="292"/>
      <c r="I1" s="293"/>
      <c r="J1" s="293"/>
      <c r="K1" s="282"/>
      <c r="L1" s="282"/>
    </row>
    <row r="2" spans="1:12">
      <c r="A2" s="294"/>
      <c r="B2" s="295"/>
      <c r="C2" s="296"/>
      <c r="D2" s="289"/>
      <c r="E2" s="289"/>
      <c r="F2" s="297" t="s">
        <v>2</v>
      </c>
      <c r="G2" s="298" t="s">
        <v>3</v>
      </c>
      <c r="H2" s="296"/>
      <c r="K2" s="282"/>
      <c r="L2" s="282"/>
    </row>
    <row r="3" spans="1:12">
      <c r="A3" s="299" t="s">
        <v>3</v>
      </c>
      <c r="B3" s="300"/>
      <c r="C3" s="301"/>
      <c r="D3" s="289"/>
      <c r="E3" s="289"/>
      <c r="F3" s="302" t="s">
        <v>4</v>
      </c>
      <c r="G3" s="303"/>
      <c r="H3" s="304"/>
      <c r="K3" s="282"/>
      <c r="L3" s="282"/>
    </row>
    <row r="4" ht="18" spans="1:12">
      <c r="A4" s="299"/>
      <c r="B4" s="300"/>
      <c r="C4" s="301"/>
      <c r="D4" s="289"/>
      <c r="E4" s="289"/>
      <c r="F4" s="305" t="s">
        <v>5</v>
      </c>
      <c r="G4" s="303" t="s">
        <v>6</v>
      </c>
      <c r="H4" s="304"/>
      <c r="I4" s="306"/>
      <c r="J4" s="306"/>
      <c r="K4" s="282"/>
      <c r="L4" s="282"/>
    </row>
    <row r="5" ht="18" spans="1:12">
      <c r="A5" s="307"/>
      <c r="B5" s="308"/>
      <c r="C5" s="309"/>
      <c r="D5" s="289"/>
      <c r="E5" s="289"/>
      <c r="F5" s="290" t="s">
        <v>7</v>
      </c>
      <c r="G5" s="291"/>
      <c r="H5" s="292"/>
      <c r="K5" s="282"/>
      <c r="L5" s="282"/>
    </row>
    <row r="6" ht="18.75" spans="1:12">
      <c r="A6" s="286" t="s">
        <v>8</v>
      </c>
      <c r="B6" s="287"/>
      <c r="C6" s="288"/>
      <c r="D6" s="289"/>
      <c r="E6" s="289"/>
      <c r="F6" s="310" t="s">
        <v>2</v>
      </c>
      <c r="G6" s="311" t="s">
        <v>3</v>
      </c>
      <c r="H6" s="312"/>
      <c r="K6" s="282"/>
      <c r="L6" s="282"/>
    </row>
    <row r="7" ht="18.75" spans="1:12">
      <c r="A7" s="313" t="s">
        <v>9</v>
      </c>
      <c r="B7" s="314"/>
      <c r="C7" s="315"/>
      <c r="D7" s="289"/>
      <c r="E7" s="289"/>
      <c r="F7" s="316" t="s">
        <v>10</v>
      </c>
      <c r="G7" s="317"/>
      <c r="H7" s="318"/>
      <c r="K7" s="282"/>
      <c r="L7" s="282"/>
    </row>
    <row r="8" ht="18" spans="1:12">
      <c r="A8" s="319"/>
      <c r="B8" s="320"/>
      <c r="C8" s="321"/>
      <c r="D8" s="289"/>
      <c r="E8" s="289"/>
      <c r="F8" s="290" t="s">
        <v>11</v>
      </c>
      <c r="G8" s="291"/>
      <c r="H8" s="292"/>
      <c r="K8" s="282"/>
      <c r="L8" s="282"/>
    </row>
    <row r="9" ht="18" spans="1:12">
      <c r="A9" s="322"/>
      <c r="B9" s="320"/>
      <c r="C9" s="321"/>
      <c r="D9" s="289"/>
      <c r="E9" s="289"/>
      <c r="F9" s="323" t="s">
        <v>12</v>
      </c>
      <c r="G9" s="324" t="s">
        <v>13</v>
      </c>
      <c r="H9" s="325"/>
    </row>
    <row r="10" ht="18" spans="1:12">
      <c r="A10" s="322"/>
      <c r="B10" s="320"/>
      <c r="C10" s="321"/>
      <c r="D10" s="289"/>
      <c r="E10" s="289"/>
      <c r="F10" s="326" t="s">
        <v>14</v>
      </c>
      <c r="G10" s="327" t="s">
        <v>15</v>
      </c>
      <c r="H10" s="321"/>
      <c r="K10" s="282"/>
      <c r="L10" s="282"/>
    </row>
    <row r="11" ht="18.75" spans="1:12">
      <c r="A11" s="328"/>
      <c r="B11" s="329"/>
      <c r="C11" s="330"/>
      <c r="D11" s="289"/>
      <c r="E11" s="289"/>
      <c r="F11" s="326" t="s">
        <v>16</v>
      </c>
      <c r="G11" s="327" t="s">
        <v>17</v>
      </c>
      <c r="H11" s="321"/>
      <c r="K11" s="282"/>
      <c r="L11" s="282"/>
    </row>
    <row r="12" ht="18.75" spans="1:12">
      <c r="A12" s="286" t="s">
        <v>18</v>
      </c>
      <c r="B12" s="287"/>
      <c r="C12" s="288"/>
      <c r="D12" s="289"/>
      <c r="E12" s="289"/>
      <c r="F12" s="326" t="s">
        <v>19</v>
      </c>
      <c r="G12" s="327" t="s">
        <v>20</v>
      </c>
      <c r="H12" s="321"/>
      <c r="K12" s="282"/>
      <c r="L12" s="282"/>
    </row>
    <row r="13" ht="18" spans="1:12">
      <c r="A13" s="313" t="str">
        <f>A7</f>
        <v>Amazon.com Services, Inc.
</v>
      </c>
      <c r="B13" s="314"/>
      <c r="C13" s="315"/>
      <c r="D13" s="289"/>
      <c r="E13" s="289"/>
      <c r="F13" s="326" t="s">
        <v>21</v>
      </c>
      <c r="G13" s="327" t="s">
        <v>22</v>
      </c>
      <c r="H13" s="321"/>
      <c r="K13" s="282"/>
      <c r="L13" s="282"/>
    </row>
    <row r="14" ht="18" spans="1:12">
      <c r="A14" s="319"/>
      <c r="B14" s="331"/>
      <c r="C14" s="332"/>
      <c r="D14" s="289"/>
      <c r="E14" s="289"/>
      <c r="F14" s="326" t="s">
        <v>23</v>
      </c>
      <c r="G14" s="327" t="s">
        <v>24</v>
      </c>
      <c r="H14" s="321"/>
      <c r="I14" s="282"/>
      <c r="J14" s="282"/>
      <c r="K14" s="282"/>
      <c r="L14" s="282"/>
    </row>
    <row r="15" ht="18" spans="1:12">
      <c r="A15" s="319"/>
      <c r="B15" s="331"/>
      <c r="C15" s="332"/>
      <c r="D15" s="289"/>
      <c r="E15" s="289"/>
      <c r="F15" s="326" t="s">
        <v>25</v>
      </c>
      <c r="G15" s="327" t="s">
        <v>24</v>
      </c>
      <c r="H15" s="321"/>
      <c r="I15" s="282"/>
      <c r="J15" s="282"/>
      <c r="K15" s="282"/>
      <c r="L15" s="282"/>
    </row>
    <row r="16" ht="18.75" spans="1:12">
      <c r="A16" s="333"/>
      <c r="B16" s="334"/>
      <c r="C16" s="335"/>
      <c r="D16" s="289"/>
      <c r="E16" s="289"/>
      <c r="F16" s="326" t="s">
        <v>26</v>
      </c>
      <c r="G16" s="327"/>
      <c r="H16" s="321"/>
      <c r="K16" s="282"/>
      <c r="L16" s="282"/>
    </row>
    <row r="17" ht="18.75" spans="1:19">
      <c r="A17" s="336" t="s">
        <v>27</v>
      </c>
      <c r="B17" s="337"/>
      <c r="C17" s="338"/>
      <c r="D17" s="289"/>
      <c r="E17" s="289"/>
      <c r="F17" s="339" t="s">
        <v>28</v>
      </c>
      <c r="G17" s="327" t="s">
        <v>29</v>
      </c>
      <c r="H17" s="321"/>
      <c r="I17" s="282"/>
      <c r="J17" s="340"/>
      <c r="K17" s="282"/>
      <c r="L17" s="282"/>
      <c r="N17" s="282"/>
    </row>
    <row r="18" ht="18" spans="1:19">
      <c r="A18" s="341"/>
      <c r="B18" s="342"/>
      <c r="C18" s="343"/>
      <c r="D18" s="289"/>
      <c r="E18" s="289"/>
      <c r="F18" s="339" t="s">
        <v>30</v>
      </c>
      <c r="G18" s="327"/>
      <c r="H18" s="321"/>
      <c r="I18" s="282"/>
      <c r="J18" s="282"/>
      <c r="K18" s="282"/>
      <c r="L18" s="282"/>
    </row>
    <row r="19" ht="18" spans="1:19">
      <c r="A19" s="341"/>
      <c r="B19" s="342"/>
      <c r="C19" s="343"/>
      <c r="D19" s="289"/>
      <c r="E19" s="289"/>
      <c r="F19" s="339" t="s">
        <v>31</v>
      </c>
      <c r="G19" s="344"/>
      <c r="H19" s="345"/>
      <c r="I19" s="282"/>
      <c r="J19" s="282"/>
      <c r="K19" s="340"/>
      <c r="L19" s="282"/>
      <c r="M19" s="282"/>
    </row>
    <row r="20" ht="18" spans="1:19">
      <c r="A20" s="346"/>
      <c r="B20" s="347"/>
      <c r="C20" s="348"/>
      <c r="D20" s="349"/>
      <c r="E20" s="350"/>
      <c r="F20" s="326" t="s">
        <v>32</v>
      </c>
      <c r="G20" s="344"/>
      <c r="H20" s="345"/>
      <c r="I20" s="282"/>
      <c r="J20" s="282"/>
      <c r="K20" s="282"/>
      <c r="L20" s="282"/>
      <c r="N20" s="351"/>
      <c r="O20" s="351"/>
    </row>
    <row r="21" ht="18" spans="1:19">
      <c r="A21" s="346"/>
      <c r="B21" s="347"/>
      <c r="C21" s="348"/>
      <c r="D21" s="289"/>
      <c r="E21" s="289"/>
      <c r="F21" s="339" t="s">
        <v>33</v>
      </c>
      <c r="G21" s="327" t="s">
        <v>34</v>
      </c>
      <c r="H21" s="321" t="s">
        <v>35</v>
      </c>
      <c r="I21" s="282"/>
      <c r="J21" s="282"/>
      <c r="K21" s="282"/>
      <c r="L21" s="282"/>
      <c r="N21" s="351"/>
      <c r="O21" s="351"/>
    </row>
    <row r="22" ht="18.75" spans="1:19">
      <c r="A22" s="352"/>
      <c r="B22" s="353"/>
      <c r="C22" s="354"/>
      <c r="D22" s="289"/>
      <c r="E22" s="289"/>
      <c r="F22" s="355" t="s">
        <v>36</v>
      </c>
      <c r="G22" s="356">
        <v>46048</v>
      </c>
      <c r="H22" s="357"/>
      <c r="I22" s="282"/>
      <c r="K22" s="282"/>
      <c r="L22" s="282"/>
      <c r="N22" s="351"/>
      <c r="O22" s="351"/>
    </row>
    <row r="23" spans="1:19">
      <c r="D23" s="289"/>
      <c r="E23" s="289"/>
      <c r="J23" s="282"/>
      <c r="K23" s="282"/>
      <c r="L23" s="282"/>
      <c r="M23" s="282"/>
      <c r="O23" s="351"/>
      <c r="P23" s="351"/>
    </row>
    <row r="24" ht="18" spans="1:19">
      <c r="D24" s="289"/>
      <c r="E24" s="289"/>
      <c r="J24" s="285"/>
      <c r="K24" s="285"/>
      <c r="L24" s="282"/>
      <c r="M24" s="282"/>
      <c r="O24" s="351"/>
      <c r="P24" s="351"/>
    </row>
    <row r="25" s="282" customFormat="1" ht="24" customHeight="1" spans="1:19">
      <c r="A25" s="358" t="s">
        <v>37</v>
      </c>
      <c r="B25" s="359" t="s">
        <v>38</v>
      </c>
      <c r="C25" s="360" t="s">
        <v>39</v>
      </c>
      <c r="D25" s="361" t="s">
        <v>40</v>
      </c>
      <c r="E25" s="362" t="s">
        <v>41</v>
      </c>
      <c r="F25" s="363" t="s">
        <v>42</v>
      </c>
      <c r="G25" s="363" t="s">
        <v>43</v>
      </c>
      <c r="H25" s="364" t="s">
        <v>44</v>
      </c>
      <c r="I25" s="365" t="s">
        <v>45</v>
      </c>
      <c r="J25" s="365" t="s">
        <v>46</v>
      </c>
      <c r="K25" s="366" t="s">
        <v>47</v>
      </c>
      <c r="L25" s="365" t="s">
        <v>48</v>
      </c>
      <c r="M25" s="367" t="s">
        <v>49</v>
      </c>
      <c r="N25" s="368" t="s">
        <v>50</v>
      </c>
      <c r="O25" s="369" t="s">
        <v>51</v>
      </c>
      <c r="P25" s="369" t="s">
        <v>52</v>
      </c>
      <c r="Q25" s="370"/>
      <c r="R25" s="285"/>
    </row>
    <row r="26" s="283" customFormat="1" ht="24" customHeight="1" spans="1:19">
      <c r="A26" s="371">
        <v>1</v>
      </c>
      <c r="B26" s="372" t="s">
        <v>53</v>
      </c>
      <c r="C26" s="373" t="s">
        <v>54</v>
      </c>
      <c r="D26" s="374">
        <v>7318159090</v>
      </c>
      <c r="E26" s="375">
        <v>15.6</v>
      </c>
      <c r="F26" s="375">
        <f>E26-L26</f>
        <v>14.6</v>
      </c>
      <c r="G26" s="376">
        <v>6.22</v>
      </c>
      <c r="H26" s="375">
        <f>G26*I26</f>
        <v>99.52</v>
      </c>
      <c r="I26" s="374">
        <v>16</v>
      </c>
      <c r="J26" s="374" t="s">
        <v>55</v>
      </c>
      <c r="K26" s="374" t="s">
        <v>56</v>
      </c>
      <c r="L26" s="374">
        <v>1</v>
      </c>
      <c r="M26" s="374" t="s">
        <v>57</v>
      </c>
      <c r="N26" s="375">
        <v>0.017024</v>
      </c>
      <c r="O26" s="372" t="s">
        <v>58</v>
      </c>
      <c r="P26" s="377" t="s">
        <v>59</v>
      </c>
      <c r="Q26" s="378" t="s">
        <v>60</v>
      </c>
      <c r="R26" s="379"/>
    </row>
    <row r="27" s="284" customFormat="1" ht="24" customHeight="1" spans="1:19">
      <c r="A27" s="371">
        <v>2</v>
      </c>
      <c r="B27" s="372" t="s">
        <v>53</v>
      </c>
      <c r="C27" s="373" t="s">
        <v>54</v>
      </c>
      <c r="D27" s="374">
        <v>7318159090</v>
      </c>
      <c r="E27" s="375">
        <v>15.3</v>
      </c>
      <c r="F27" s="375">
        <f t="shared" ref="F27:F43" si="0">E27-L27</f>
        <v>14.3</v>
      </c>
      <c r="G27" s="376">
        <v>9.38</v>
      </c>
      <c r="H27" s="375">
        <f t="shared" ref="H27:H43" si="1">G27*I27</f>
        <v>112.56</v>
      </c>
      <c r="I27" s="374">
        <v>12</v>
      </c>
      <c r="J27" s="374" t="s">
        <v>55</v>
      </c>
      <c r="K27" s="374" t="s">
        <v>56</v>
      </c>
      <c r="L27" s="374">
        <v>1</v>
      </c>
      <c r="M27" s="374" t="s">
        <v>57</v>
      </c>
      <c r="N27" s="375">
        <v>0.017024</v>
      </c>
      <c r="O27" s="372" t="s">
        <v>58</v>
      </c>
      <c r="P27" s="377" t="s">
        <v>59</v>
      </c>
      <c r="Q27" s="378" t="s">
        <v>61</v>
      </c>
      <c r="R27" s="379"/>
      <c r="S27" s="283"/>
    </row>
    <row r="28" s="283" customFormat="1" ht="24" customHeight="1" spans="1:19">
      <c r="A28" s="371">
        <v>3</v>
      </c>
      <c r="B28" s="372" t="s">
        <v>53</v>
      </c>
      <c r="C28" s="373" t="s">
        <v>54</v>
      </c>
      <c r="D28" s="374">
        <v>7318159090</v>
      </c>
      <c r="E28" s="375">
        <v>17.8</v>
      </c>
      <c r="F28" s="375">
        <f t="shared" si="0"/>
        <v>15.8</v>
      </c>
      <c r="G28" s="376">
        <v>10.68</v>
      </c>
      <c r="H28" s="375">
        <f t="shared" si="1"/>
        <v>128.16</v>
      </c>
      <c r="I28" s="374">
        <v>12</v>
      </c>
      <c r="J28" s="374" t="s">
        <v>55</v>
      </c>
      <c r="K28" s="374" t="s">
        <v>56</v>
      </c>
      <c r="L28" s="374">
        <v>2</v>
      </c>
      <c r="M28" s="374" t="s">
        <v>57</v>
      </c>
      <c r="N28" s="375">
        <v>0.02088</v>
      </c>
      <c r="O28" s="372" t="s">
        <v>58</v>
      </c>
      <c r="P28" s="377" t="s">
        <v>59</v>
      </c>
      <c r="Q28" s="378" t="s">
        <v>62</v>
      </c>
      <c r="R28" s="379"/>
    </row>
    <row r="29" s="284" customFormat="1" ht="24" customHeight="1" spans="1:19">
      <c r="A29" s="371">
        <v>4</v>
      </c>
      <c r="B29" s="372" t="s">
        <v>53</v>
      </c>
      <c r="C29" s="373" t="s">
        <v>54</v>
      </c>
      <c r="D29" s="374">
        <v>7318159090</v>
      </c>
      <c r="E29" s="375">
        <v>15.7</v>
      </c>
      <c r="F29" s="375">
        <f t="shared" si="0"/>
        <v>13.7</v>
      </c>
      <c r="G29" s="376">
        <v>3.49</v>
      </c>
      <c r="H29" s="375">
        <f t="shared" si="1"/>
        <v>125.64</v>
      </c>
      <c r="I29" s="374">
        <v>36</v>
      </c>
      <c r="J29" s="374" t="s">
        <v>55</v>
      </c>
      <c r="K29" s="374" t="s">
        <v>56</v>
      </c>
      <c r="L29" s="374">
        <v>2</v>
      </c>
      <c r="M29" s="374" t="s">
        <v>57</v>
      </c>
      <c r="N29" s="375">
        <v>0.02184</v>
      </c>
      <c r="O29" s="372" t="s">
        <v>58</v>
      </c>
      <c r="P29" s="377" t="s">
        <v>59</v>
      </c>
      <c r="Q29" s="378" t="s">
        <v>63</v>
      </c>
      <c r="R29" s="379"/>
      <c r="S29" s="283"/>
    </row>
    <row r="30" s="284" customFormat="1" ht="24" customHeight="1" spans="1:19">
      <c r="A30" s="371">
        <v>5</v>
      </c>
      <c r="B30" s="372" t="s">
        <v>53</v>
      </c>
      <c r="C30" s="373" t="s">
        <v>54</v>
      </c>
      <c r="D30" s="374">
        <v>7318159090</v>
      </c>
      <c r="E30" s="375">
        <v>35.4</v>
      </c>
      <c r="F30" s="375">
        <f t="shared" si="0"/>
        <v>32.4</v>
      </c>
      <c r="G30" s="376">
        <v>7.52</v>
      </c>
      <c r="H30" s="375">
        <f t="shared" si="1"/>
        <v>270.72</v>
      </c>
      <c r="I30" s="374">
        <v>36</v>
      </c>
      <c r="J30" s="374" t="s">
        <v>55</v>
      </c>
      <c r="K30" s="374" t="s">
        <v>56</v>
      </c>
      <c r="L30" s="374">
        <v>3</v>
      </c>
      <c r="M30" s="374" t="s">
        <v>57</v>
      </c>
      <c r="N30" s="375">
        <v>0.051072</v>
      </c>
      <c r="O30" s="372" t="s">
        <v>58</v>
      </c>
      <c r="P30" s="377" t="s">
        <v>59</v>
      </c>
      <c r="Q30" s="378" t="s">
        <v>64</v>
      </c>
      <c r="R30" s="379"/>
      <c r="S30" s="283"/>
    </row>
    <row r="31" s="284" customFormat="1" ht="24" customHeight="1" spans="1:19">
      <c r="A31" s="371">
        <v>6</v>
      </c>
      <c r="B31" s="372" t="s">
        <v>53</v>
      </c>
      <c r="C31" s="373" t="s">
        <v>54</v>
      </c>
      <c r="D31" s="374">
        <v>7318159090</v>
      </c>
      <c r="E31" s="375">
        <v>21.2</v>
      </c>
      <c r="F31" s="375">
        <f t="shared" si="0"/>
        <v>19.2</v>
      </c>
      <c r="G31" s="376">
        <v>13.74</v>
      </c>
      <c r="H31" s="375">
        <f t="shared" si="1"/>
        <v>109.92</v>
      </c>
      <c r="I31" s="374">
        <v>8</v>
      </c>
      <c r="J31" s="374" t="s">
        <v>55</v>
      </c>
      <c r="K31" s="374" t="s">
        <v>56</v>
      </c>
      <c r="L31" s="374">
        <v>2</v>
      </c>
      <c r="M31" s="374" t="s">
        <v>57</v>
      </c>
      <c r="N31" s="375">
        <v>0.04786875</v>
      </c>
      <c r="O31" s="372" t="s">
        <v>58</v>
      </c>
      <c r="P31" s="377" t="s">
        <v>59</v>
      </c>
      <c r="Q31" s="378" t="s">
        <v>65</v>
      </c>
      <c r="R31" s="380"/>
      <c r="S31" s="283"/>
    </row>
    <row r="32" s="284" customFormat="1" ht="24" customHeight="1" spans="1:19">
      <c r="A32" s="371">
        <v>7</v>
      </c>
      <c r="B32" s="372" t="s">
        <v>53</v>
      </c>
      <c r="C32" s="373" t="s">
        <v>54</v>
      </c>
      <c r="D32" s="374">
        <v>7318159090</v>
      </c>
      <c r="E32" s="375">
        <v>14.5</v>
      </c>
      <c r="F32" s="375">
        <f t="shared" si="0"/>
        <v>13.5</v>
      </c>
      <c r="G32" s="376">
        <v>7.99</v>
      </c>
      <c r="H32" s="375">
        <f t="shared" si="1"/>
        <v>95.88</v>
      </c>
      <c r="I32" s="374">
        <v>12</v>
      </c>
      <c r="J32" s="374" t="s">
        <v>55</v>
      </c>
      <c r="K32" s="374" t="s">
        <v>56</v>
      </c>
      <c r="L32" s="374">
        <v>1</v>
      </c>
      <c r="M32" s="374" t="s">
        <v>57</v>
      </c>
      <c r="N32" s="375">
        <v>0.014616</v>
      </c>
      <c r="O32" s="372" t="s">
        <v>58</v>
      </c>
      <c r="P32" s="377" t="s">
        <v>59</v>
      </c>
      <c r="Q32" s="378" t="s">
        <v>66</v>
      </c>
      <c r="R32" s="380"/>
      <c r="S32" s="283"/>
    </row>
    <row r="33" s="284" customFormat="1" ht="24" customHeight="1" spans="1:19">
      <c r="A33" s="371">
        <v>8</v>
      </c>
      <c r="B33" s="372" t="s">
        <v>67</v>
      </c>
      <c r="C33" s="373" t="s">
        <v>68</v>
      </c>
      <c r="D33" s="374">
        <v>7326909000</v>
      </c>
      <c r="E33" s="375">
        <v>17.31</v>
      </c>
      <c r="F33" s="375">
        <f t="shared" si="0"/>
        <v>14.31</v>
      </c>
      <c r="G33" s="376">
        <v>30.09</v>
      </c>
      <c r="H33" s="375">
        <f t="shared" si="1"/>
        <v>90.27</v>
      </c>
      <c r="I33" s="374">
        <v>3</v>
      </c>
      <c r="J33" s="374" t="s">
        <v>55</v>
      </c>
      <c r="K33" s="374" t="s">
        <v>56</v>
      </c>
      <c r="L33" s="374">
        <v>3</v>
      </c>
      <c r="M33" s="374" t="s">
        <v>57</v>
      </c>
      <c r="N33" s="375">
        <v>0.014322</v>
      </c>
      <c r="O33" s="372" t="s">
        <v>69</v>
      </c>
      <c r="P33" s="377" t="s">
        <v>70</v>
      </c>
      <c r="Q33" s="378" t="s">
        <v>71</v>
      </c>
      <c r="R33" s="380"/>
      <c r="S33" s="283"/>
    </row>
    <row r="34" s="284" customFormat="1" ht="24" customHeight="1" spans="1:19">
      <c r="A34" s="371">
        <v>9</v>
      </c>
      <c r="B34" s="372" t="s">
        <v>67</v>
      </c>
      <c r="C34" s="373" t="s">
        <v>68</v>
      </c>
      <c r="D34" s="374">
        <v>7326909000</v>
      </c>
      <c r="E34" s="375">
        <v>12.7</v>
      </c>
      <c r="F34" s="375">
        <f t="shared" si="0"/>
        <v>11.7</v>
      </c>
      <c r="G34" s="376">
        <v>5.01</v>
      </c>
      <c r="H34" s="375">
        <f t="shared" si="1"/>
        <v>60.12</v>
      </c>
      <c r="I34" s="374">
        <v>12</v>
      </c>
      <c r="J34" s="374" t="s">
        <v>55</v>
      </c>
      <c r="K34" s="374" t="s">
        <v>56</v>
      </c>
      <c r="L34" s="374">
        <v>1</v>
      </c>
      <c r="M34" s="374" t="s">
        <v>57</v>
      </c>
      <c r="N34" s="375">
        <v>0.019227</v>
      </c>
      <c r="O34" s="372" t="s">
        <v>69</v>
      </c>
      <c r="P34" s="377" t="s">
        <v>70</v>
      </c>
      <c r="Q34" s="378" t="s">
        <v>72</v>
      </c>
      <c r="R34" s="380"/>
      <c r="S34" s="283"/>
    </row>
    <row r="35" s="284" customFormat="1" ht="24" customHeight="1" spans="1:19">
      <c r="A35" s="371">
        <v>10</v>
      </c>
      <c r="B35" s="372" t="s">
        <v>67</v>
      </c>
      <c r="C35" s="373" t="s">
        <v>68</v>
      </c>
      <c r="D35" s="374">
        <v>7326909000</v>
      </c>
      <c r="E35" s="375">
        <v>12.25</v>
      </c>
      <c r="F35" s="375">
        <f t="shared" si="0"/>
        <v>11.25</v>
      </c>
      <c r="G35" s="376">
        <v>10.03</v>
      </c>
      <c r="H35" s="375">
        <f t="shared" si="1"/>
        <v>60.18</v>
      </c>
      <c r="I35" s="374">
        <v>6</v>
      </c>
      <c r="J35" s="374" t="s">
        <v>55</v>
      </c>
      <c r="K35" s="374" t="s">
        <v>56</v>
      </c>
      <c r="L35" s="374">
        <v>1</v>
      </c>
      <c r="M35" s="374" t="s">
        <v>57</v>
      </c>
      <c r="N35" s="375">
        <v>0.019227</v>
      </c>
      <c r="O35" s="372" t="s">
        <v>69</v>
      </c>
      <c r="P35" s="377" t="s">
        <v>70</v>
      </c>
      <c r="Q35" s="378" t="s">
        <v>73</v>
      </c>
      <c r="R35" s="380"/>
      <c r="S35" s="283"/>
    </row>
    <row r="36" s="284" customFormat="1" ht="24" customHeight="1" spans="1:19">
      <c r="A36" s="371">
        <v>11</v>
      </c>
      <c r="B36" s="372" t="s">
        <v>67</v>
      </c>
      <c r="C36" s="373" t="s">
        <v>68</v>
      </c>
      <c r="D36" s="374">
        <v>7326909000</v>
      </c>
      <c r="E36" s="375">
        <v>15.44</v>
      </c>
      <c r="F36" s="375">
        <f t="shared" si="0"/>
        <v>11.44</v>
      </c>
      <c r="G36" s="376">
        <v>20.06</v>
      </c>
      <c r="H36" s="375">
        <f t="shared" si="1"/>
        <v>80.24</v>
      </c>
      <c r="I36" s="374">
        <v>4</v>
      </c>
      <c r="J36" s="374" t="s">
        <v>55</v>
      </c>
      <c r="K36" s="374" t="s">
        <v>56</v>
      </c>
      <c r="L36" s="374">
        <v>4</v>
      </c>
      <c r="M36" s="374" t="s">
        <v>57</v>
      </c>
      <c r="N36" s="375">
        <v>0.013608</v>
      </c>
      <c r="O36" s="372" t="s">
        <v>69</v>
      </c>
      <c r="P36" s="377" t="s">
        <v>70</v>
      </c>
      <c r="Q36" s="378" t="s">
        <v>74</v>
      </c>
      <c r="R36" s="380"/>
      <c r="S36" s="283"/>
    </row>
    <row r="37" s="284" customFormat="1" ht="24" customHeight="1" spans="1:19">
      <c r="A37" s="371">
        <v>12</v>
      </c>
      <c r="B37" s="372" t="s">
        <v>53</v>
      </c>
      <c r="C37" s="373" t="s">
        <v>54</v>
      </c>
      <c r="D37" s="374">
        <v>7318159090</v>
      </c>
      <c r="E37" s="375">
        <v>29.6</v>
      </c>
      <c r="F37" s="375">
        <f t="shared" si="0"/>
        <v>27.6</v>
      </c>
      <c r="G37" s="376">
        <v>11.11</v>
      </c>
      <c r="H37" s="375">
        <f t="shared" si="1"/>
        <v>133.32</v>
      </c>
      <c r="I37" s="374">
        <v>12</v>
      </c>
      <c r="J37" s="374" t="s">
        <v>55</v>
      </c>
      <c r="K37" s="374" t="s">
        <v>56</v>
      </c>
      <c r="L37" s="374">
        <v>2</v>
      </c>
      <c r="M37" s="374" t="s">
        <v>57</v>
      </c>
      <c r="N37" s="375">
        <v>0.07106</v>
      </c>
      <c r="O37" s="372" t="s">
        <v>75</v>
      </c>
      <c r="P37" s="377" t="s">
        <v>76</v>
      </c>
      <c r="Q37" s="378" t="s">
        <v>77</v>
      </c>
      <c r="R37" s="380"/>
      <c r="S37" s="283"/>
    </row>
    <row r="38" s="284" customFormat="1" ht="24" customHeight="1" spans="1:19">
      <c r="A38" s="371">
        <v>13</v>
      </c>
      <c r="B38" s="372" t="s">
        <v>78</v>
      </c>
      <c r="C38" s="373" t="s">
        <v>79</v>
      </c>
      <c r="D38" s="374">
        <v>8302420000</v>
      </c>
      <c r="E38" s="375">
        <v>122.4</v>
      </c>
      <c r="F38" s="375">
        <f t="shared" si="0"/>
        <v>88.4</v>
      </c>
      <c r="G38" s="376">
        <v>13</v>
      </c>
      <c r="H38" s="375">
        <f t="shared" si="1"/>
        <v>442</v>
      </c>
      <c r="I38" s="374">
        <v>34</v>
      </c>
      <c r="J38" s="374" t="s">
        <v>55</v>
      </c>
      <c r="K38" s="374" t="s">
        <v>56</v>
      </c>
      <c r="L38" s="374">
        <v>34</v>
      </c>
      <c r="M38" s="374" t="s">
        <v>57</v>
      </c>
      <c r="N38" s="375">
        <v>0.137632</v>
      </c>
      <c r="O38" s="372" t="s">
        <v>80</v>
      </c>
      <c r="P38" s="377" t="s">
        <v>81</v>
      </c>
      <c r="Q38" s="378" t="s">
        <v>82</v>
      </c>
      <c r="R38" s="380"/>
      <c r="S38" s="283"/>
    </row>
    <row r="39" s="284" customFormat="1" ht="24" customHeight="1" spans="1:19">
      <c r="A39" s="371">
        <v>14</v>
      </c>
      <c r="B39" s="372" t="s">
        <v>78</v>
      </c>
      <c r="C39" s="373" t="s">
        <v>83</v>
      </c>
      <c r="D39" s="374">
        <v>8302420000</v>
      </c>
      <c r="E39" s="375">
        <v>91.35</v>
      </c>
      <c r="F39" s="375">
        <f t="shared" si="0"/>
        <v>70.35</v>
      </c>
      <c r="G39" s="376">
        <v>16.21</v>
      </c>
      <c r="H39" s="375">
        <f t="shared" si="1"/>
        <v>340.41</v>
      </c>
      <c r="I39" s="374">
        <v>21</v>
      </c>
      <c r="J39" s="374" t="s">
        <v>55</v>
      </c>
      <c r="K39" s="374" t="s">
        <v>56</v>
      </c>
      <c r="L39" s="374">
        <v>21</v>
      </c>
      <c r="M39" s="374" t="s">
        <v>57</v>
      </c>
      <c r="N39" s="375">
        <v>0.166698</v>
      </c>
      <c r="O39" s="372" t="s">
        <v>84</v>
      </c>
      <c r="P39" s="377" t="s">
        <v>70</v>
      </c>
      <c r="Q39" s="378" t="s">
        <v>85</v>
      </c>
      <c r="R39" s="380"/>
      <c r="S39" s="283"/>
    </row>
    <row r="40" s="284" customFormat="1" ht="24" customHeight="1" spans="1:19">
      <c r="A40" s="371">
        <v>15</v>
      </c>
      <c r="B40" s="372" t="s">
        <v>78</v>
      </c>
      <c r="C40" s="373" t="s">
        <v>83</v>
      </c>
      <c r="D40" s="374">
        <v>8302420000</v>
      </c>
      <c r="E40" s="375">
        <v>92.95</v>
      </c>
      <c r="F40" s="375">
        <f t="shared" si="0"/>
        <v>81.95</v>
      </c>
      <c r="G40" s="376">
        <v>32.31</v>
      </c>
      <c r="H40" s="375">
        <f t="shared" si="1"/>
        <v>355.41</v>
      </c>
      <c r="I40" s="374">
        <v>11</v>
      </c>
      <c r="J40" s="374" t="s">
        <v>55</v>
      </c>
      <c r="K40" s="374" t="s">
        <v>56</v>
      </c>
      <c r="L40" s="374">
        <v>11</v>
      </c>
      <c r="M40" s="374" t="s">
        <v>57</v>
      </c>
      <c r="N40" s="375">
        <v>0.165528</v>
      </c>
      <c r="O40" s="372" t="s">
        <v>84</v>
      </c>
      <c r="P40" s="377" t="s">
        <v>70</v>
      </c>
      <c r="Q40" s="378" t="s">
        <v>86</v>
      </c>
      <c r="R40" s="380"/>
      <c r="S40" s="283"/>
    </row>
    <row r="41" s="284" customFormat="1" ht="24" customHeight="1" spans="1:19">
      <c r="A41" s="371">
        <v>16</v>
      </c>
      <c r="B41" s="372" t="s">
        <v>78</v>
      </c>
      <c r="C41" s="373" t="s">
        <v>83</v>
      </c>
      <c r="D41" s="374">
        <v>8302420000</v>
      </c>
      <c r="E41" s="375">
        <v>41.4</v>
      </c>
      <c r="F41" s="375">
        <f t="shared" si="0"/>
        <v>37.4</v>
      </c>
      <c r="G41" s="376">
        <v>3.23</v>
      </c>
      <c r="H41" s="375">
        <f t="shared" si="1"/>
        <v>116.28</v>
      </c>
      <c r="I41" s="374">
        <v>36</v>
      </c>
      <c r="J41" s="374" t="s">
        <v>55</v>
      </c>
      <c r="K41" s="374" t="s">
        <v>56</v>
      </c>
      <c r="L41" s="374">
        <v>4</v>
      </c>
      <c r="M41" s="374" t="s">
        <v>57</v>
      </c>
      <c r="N41" s="375">
        <v>0.186147</v>
      </c>
      <c r="O41" s="372" t="s">
        <v>84</v>
      </c>
      <c r="P41" s="377" t="s">
        <v>70</v>
      </c>
      <c r="Q41" s="378" t="s">
        <v>87</v>
      </c>
      <c r="R41" s="380"/>
      <c r="S41" s="283"/>
    </row>
    <row r="42" s="284" customFormat="1" ht="24" customHeight="1" spans="1:19">
      <c r="A42" s="371">
        <v>17</v>
      </c>
      <c r="B42" s="372" t="s">
        <v>78</v>
      </c>
      <c r="C42" s="373" t="s">
        <v>83</v>
      </c>
      <c r="D42" s="374">
        <v>8302420000</v>
      </c>
      <c r="E42" s="375">
        <v>13.4</v>
      </c>
      <c r="F42" s="375">
        <f t="shared" si="0"/>
        <v>12.4</v>
      </c>
      <c r="G42" s="376">
        <v>4.87</v>
      </c>
      <c r="H42" s="375">
        <f t="shared" si="1"/>
        <v>43.83</v>
      </c>
      <c r="I42" s="374">
        <v>9</v>
      </c>
      <c r="J42" s="374" t="s">
        <v>55</v>
      </c>
      <c r="K42" s="374" t="s">
        <v>56</v>
      </c>
      <c r="L42" s="374">
        <v>1</v>
      </c>
      <c r="M42" s="374" t="s">
        <v>57</v>
      </c>
      <c r="N42" s="375">
        <v>0.05544</v>
      </c>
      <c r="O42" s="372" t="s">
        <v>84</v>
      </c>
      <c r="P42" s="377" t="s">
        <v>70</v>
      </c>
      <c r="Q42" s="378" t="s">
        <v>88</v>
      </c>
      <c r="R42" s="380"/>
      <c r="S42" s="283"/>
    </row>
    <row r="43" s="284" customFormat="1" ht="24" customHeight="1" spans="1:19">
      <c r="A43" s="371">
        <v>18</v>
      </c>
      <c r="B43" s="372" t="s">
        <v>78</v>
      </c>
      <c r="C43" s="373" t="s">
        <v>83</v>
      </c>
      <c r="D43" s="374">
        <v>8302420000</v>
      </c>
      <c r="E43" s="375">
        <v>95.6</v>
      </c>
      <c r="F43" s="375">
        <f t="shared" si="0"/>
        <v>87.6</v>
      </c>
      <c r="G43" s="376">
        <v>6.49</v>
      </c>
      <c r="H43" s="375">
        <f t="shared" si="1"/>
        <v>311.52</v>
      </c>
      <c r="I43" s="374">
        <v>48</v>
      </c>
      <c r="J43" s="374" t="s">
        <v>55</v>
      </c>
      <c r="K43" s="374" t="s">
        <v>56</v>
      </c>
      <c r="L43" s="374">
        <v>8</v>
      </c>
      <c r="M43" s="374" t="s">
        <v>57</v>
      </c>
      <c r="N43" s="375">
        <v>0.33152</v>
      </c>
      <c r="O43" s="372" t="s">
        <v>84</v>
      </c>
      <c r="P43" s="377" t="s">
        <v>70</v>
      </c>
      <c r="Q43" s="378" t="s">
        <v>89</v>
      </c>
      <c r="R43" s="380"/>
      <c r="S43" s="283"/>
    </row>
    <row r="44" s="284" customFormat="1" ht="24" customHeight="1" spans="1:19">
      <c r="A44" s="371">
        <v>19</v>
      </c>
      <c r="B44" s="372" t="s">
        <v>78</v>
      </c>
      <c r="C44" s="373" t="s">
        <v>83</v>
      </c>
      <c r="D44" s="374">
        <v>8302420000</v>
      </c>
      <c r="E44" s="375">
        <v>28.9</v>
      </c>
      <c r="F44" s="375">
        <f t="shared" ref="F44:F56" si="2">E44-L44</f>
        <v>26.9</v>
      </c>
      <c r="G44" s="376">
        <v>8.1</v>
      </c>
      <c r="H44" s="375">
        <f t="shared" ref="H44:H53" si="3">G44*I44</f>
        <v>97.2</v>
      </c>
      <c r="I44" s="374">
        <v>12</v>
      </c>
      <c r="J44" s="374" t="s">
        <v>55</v>
      </c>
      <c r="K44" s="374" t="s">
        <v>56</v>
      </c>
      <c r="L44" s="374">
        <v>2</v>
      </c>
      <c r="M44" s="374" t="s">
        <v>57</v>
      </c>
      <c r="N44" s="375">
        <v>0.088</v>
      </c>
      <c r="O44" s="372" t="s">
        <v>84</v>
      </c>
      <c r="P44" s="377" t="s">
        <v>70</v>
      </c>
      <c r="Q44" s="378" t="s">
        <v>90</v>
      </c>
      <c r="R44" s="380"/>
      <c r="S44" s="283"/>
    </row>
    <row r="45" s="284" customFormat="1" ht="24" customHeight="1" spans="1:19">
      <c r="A45" s="371">
        <v>20</v>
      </c>
      <c r="B45" s="372" t="s">
        <v>78</v>
      </c>
      <c r="C45" s="373" t="s">
        <v>83</v>
      </c>
      <c r="D45" s="374">
        <v>8302420000</v>
      </c>
      <c r="E45" s="375">
        <v>153.27</v>
      </c>
      <c r="F45" s="375">
        <f t="shared" si="2"/>
        <v>114.27</v>
      </c>
      <c r="G45" s="376">
        <v>14.56</v>
      </c>
      <c r="H45" s="375">
        <f t="shared" si="3"/>
        <v>567.84</v>
      </c>
      <c r="I45" s="374">
        <v>39</v>
      </c>
      <c r="J45" s="374" t="s">
        <v>55</v>
      </c>
      <c r="K45" s="374" t="s">
        <v>56</v>
      </c>
      <c r="L45" s="374">
        <v>39</v>
      </c>
      <c r="M45" s="374" t="s">
        <v>57</v>
      </c>
      <c r="N45" s="375">
        <v>0.323817</v>
      </c>
      <c r="O45" s="372" t="s">
        <v>84</v>
      </c>
      <c r="P45" s="377" t="s">
        <v>70</v>
      </c>
      <c r="Q45" s="378" t="s">
        <v>91</v>
      </c>
      <c r="R45" s="380"/>
      <c r="S45" s="283"/>
    </row>
    <row r="46" s="284" customFormat="1" ht="24" customHeight="1" spans="1:19">
      <c r="A46" s="371">
        <v>21</v>
      </c>
      <c r="B46" s="372" t="s">
        <v>78</v>
      </c>
      <c r="C46" s="373" t="s">
        <v>79</v>
      </c>
      <c r="D46" s="374">
        <v>8302420000</v>
      </c>
      <c r="E46" s="375">
        <v>87.6</v>
      </c>
      <c r="F46" s="375">
        <f t="shared" si="2"/>
        <v>81.6</v>
      </c>
      <c r="G46" s="376">
        <v>10.03</v>
      </c>
      <c r="H46" s="375">
        <f t="shared" si="3"/>
        <v>240.72</v>
      </c>
      <c r="I46" s="374">
        <v>24</v>
      </c>
      <c r="J46" s="374" t="s">
        <v>55</v>
      </c>
      <c r="K46" s="374" t="s">
        <v>56</v>
      </c>
      <c r="L46" s="374">
        <v>6</v>
      </c>
      <c r="M46" s="374" t="s">
        <v>57</v>
      </c>
      <c r="N46" s="375">
        <v>0.147</v>
      </c>
      <c r="O46" s="372" t="s">
        <v>80</v>
      </c>
      <c r="P46" s="377" t="s">
        <v>92</v>
      </c>
      <c r="Q46" s="378" t="s">
        <v>93</v>
      </c>
      <c r="R46" s="380"/>
      <c r="S46" s="283"/>
    </row>
    <row r="47" s="284" customFormat="1" ht="24" customHeight="1" spans="1:19">
      <c r="A47" s="371">
        <v>22</v>
      </c>
      <c r="B47" s="372" t="s">
        <v>78</v>
      </c>
      <c r="C47" s="373" t="s">
        <v>83</v>
      </c>
      <c r="D47" s="374">
        <v>8302420000</v>
      </c>
      <c r="E47" s="375">
        <v>94.08</v>
      </c>
      <c r="F47" s="375">
        <f t="shared" si="2"/>
        <v>80.08</v>
      </c>
      <c r="G47" s="376">
        <v>19.31</v>
      </c>
      <c r="H47" s="375">
        <f t="shared" si="3"/>
        <v>270.34</v>
      </c>
      <c r="I47" s="374">
        <v>14</v>
      </c>
      <c r="J47" s="374" t="s">
        <v>55</v>
      </c>
      <c r="K47" s="374" t="s">
        <v>56</v>
      </c>
      <c r="L47" s="374">
        <v>14</v>
      </c>
      <c r="M47" s="374" t="s">
        <v>57</v>
      </c>
      <c r="N47" s="375">
        <v>0.1410255</v>
      </c>
      <c r="O47" s="381" t="s">
        <v>80</v>
      </c>
      <c r="P47" s="377" t="s">
        <v>92</v>
      </c>
      <c r="Q47" s="382" t="s">
        <v>94</v>
      </c>
      <c r="R47" s="380"/>
      <c r="S47" s="283"/>
    </row>
    <row r="48" s="284" customFormat="1" ht="24" customHeight="1" spans="1:19">
      <c r="A48" s="371">
        <v>23</v>
      </c>
      <c r="B48" s="372" t="s">
        <v>78</v>
      </c>
      <c r="C48" s="373" t="s">
        <v>79</v>
      </c>
      <c r="D48" s="374">
        <v>8302420000</v>
      </c>
      <c r="E48" s="375">
        <v>16.2</v>
      </c>
      <c r="F48" s="375">
        <f t="shared" si="2"/>
        <v>7.2</v>
      </c>
      <c r="G48" s="376">
        <v>11.16</v>
      </c>
      <c r="H48" s="375">
        <f t="shared" si="3"/>
        <v>100.44</v>
      </c>
      <c r="I48" s="374">
        <v>9</v>
      </c>
      <c r="J48" s="374" t="s">
        <v>55</v>
      </c>
      <c r="K48" s="374" t="s">
        <v>56</v>
      </c>
      <c r="L48" s="374">
        <v>9</v>
      </c>
      <c r="M48" s="374" t="s">
        <v>57</v>
      </c>
      <c r="N48" s="375">
        <v>0.036864</v>
      </c>
      <c r="O48" s="372" t="s">
        <v>80</v>
      </c>
      <c r="P48" s="377" t="s">
        <v>95</v>
      </c>
      <c r="Q48" s="378" t="s">
        <v>96</v>
      </c>
      <c r="R48" s="380"/>
      <c r="S48" s="283"/>
    </row>
    <row r="49" s="284" customFormat="1" ht="24" customHeight="1" spans="1:19">
      <c r="A49" s="371">
        <v>24</v>
      </c>
      <c r="B49" s="372" t="s">
        <v>78</v>
      </c>
      <c r="C49" s="373" t="s">
        <v>79</v>
      </c>
      <c r="D49" s="374">
        <v>8302420000</v>
      </c>
      <c r="E49" s="375">
        <v>13.6</v>
      </c>
      <c r="F49" s="375">
        <f t="shared" si="2"/>
        <v>9.6</v>
      </c>
      <c r="G49" s="376">
        <v>21.51</v>
      </c>
      <c r="H49" s="375">
        <f t="shared" si="3"/>
        <v>86.04</v>
      </c>
      <c r="I49" s="374">
        <v>4</v>
      </c>
      <c r="J49" s="374" t="s">
        <v>55</v>
      </c>
      <c r="K49" s="374" t="s">
        <v>56</v>
      </c>
      <c r="L49" s="374">
        <v>4</v>
      </c>
      <c r="M49" s="374" t="s">
        <v>57</v>
      </c>
      <c r="N49" s="375">
        <v>0.016896</v>
      </c>
      <c r="O49" s="372" t="s">
        <v>80</v>
      </c>
      <c r="P49" s="377" t="s">
        <v>95</v>
      </c>
      <c r="Q49" s="378" t="s">
        <v>97</v>
      </c>
      <c r="R49" s="380"/>
      <c r="S49" s="283"/>
    </row>
    <row r="50" s="284" customFormat="1" ht="24" customHeight="1" spans="1:19">
      <c r="A50" s="371">
        <v>25</v>
      </c>
      <c r="B50" s="372" t="s">
        <v>78</v>
      </c>
      <c r="C50" s="373" t="s">
        <v>79</v>
      </c>
      <c r="D50" s="374">
        <v>8302420000</v>
      </c>
      <c r="E50" s="375">
        <v>20.55</v>
      </c>
      <c r="F50" s="375">
        <f t="shared" si="2"/>
        <v>17.55</v>
      </c>
      <c r="G50" s="376">
        <v>44.61</v>
      </c>
      <c r="H50" s="375">
        <f t="shared" si="3"/>
        <v>133.83</v>
      </c>
      <c r="I50" s="374">
        <v>3</v>
      </c>
      <c r="J50" s="374" t="s">
        <v>55</v>
      </c>
      <c r="K50" s="374" t="s">
        <v>56</v>
      </c>
      <c r="L50" s="374">
        <v>3</v>
      </c>
      <c r="M50" s="374" t="s">
        <v>57</v>
      </c>
      <c r="N50" s="375">
        <v>0.023562</v>
      </c>
      <c r="O50" s="372" t="s">
        <v>80</v>
      </c>
      <c r="P50" s="377" t="s">
        <v>95</v>
      </c>
      <c r="Q50" s="378" t="s">
        <v>98</v>
      </c>
      <c r="R50" s="380"/>
      <c r="S50" s="283"/>
    </row>
    <row r="51" s="284" customFormat="1" ht="24" customHeight="1" spans="1:19">
      <c r="A51" s="371">
        <v>26</v>
      </c>
      <c r="B51" s="372" t="s">
        <v>53</v>
      </c>
      <c r="C51" s="373" t="s">
        <v>54</v>
      </c>
      <c r="D51" s="374">
        <v>7318159090</v>
      </c>
      <c r="E51" s="375">
        <v>37.4</v>
      </c>
      <c r="F51" s="383">
        <f t="shared" si="2"/>
        <v>35.4</v>
      </c>
      <c r="G51" s="376">
        <v>22.1</v>
      </c>
      <c r="H51" s="375">
        <f t="shared" ref="H51:H58" si="4">G51*I51</f>
        <v>176.8</v>
      </c>
      <c r="I51" s="374">
        <v>8</v>
      </c>
      <c r="J51" s="374" t="s">
        <v>55</v>
      </c>
      <c r="K51" s="384" t="s">
        <v>56</v>
      </c>
      <c r="L51" s="374">
        <v>2</v>
      </c>
      <c r="M51" s="384" t="s">
        <v>57</v>
      </c>
      <c r="N51" s="375">
        <v>0.053196</v>
      </c>
      <c r="O51" s="372" t="s">
        <v>75</v>
      </c>
      <c r="P51" s="377" t="s">
        <v>59</v>
      </c>
      <c r="Q51" s="378" t="s">
        <v>99</v>
      </c>
      <c r="R51" s="380"/>
      <c r="S51" s="283"/>
    </row>
    <row r="52" s="284" customFormat="1" ht="24" customHeight="1" spans="1:19">
      <c r="A52" s="371">
        <v>27</v>
      </c>
      <c r="B52" s="372" t="s">
        <v>53</v>
      </c>
      <c r="C52" s="373" t="s">
        <v>54</v>
      </c>
      <c r="D52" s="374">
        <v>7318159090</v>
      </c>
      <c r="E52" s="375">
        <v>25</v>
      </c>
      <c r="F52" s="383">
        <f t="shared" si="2"/>
        <v>23</v>
      </c>
      <c r="G52" s="376">
        <v>9.56</v>
      </c>
      <c r="H52" s="375">
        <f t="shared" si="4"/>
        <v>114.72</v>
      </c>
      <c r="I52" s="374">
        <v>12</v>
      </c>
      <c r="J52" s="374" t="s">
        <v>55</v>
      </c>
      <c r="K52" s="374" t="s">
        <v>56</v>
      </c>
      <c r="L52" s="374">
        <v>2</v>
      </c>
      <c r="M52" s="374" t="s">
        <v>57</v>
      </c>
      <c r="N52" s="375">
        <v>0.02128</v>
      </c>
      <c r="O52" s="372" t="s">
        <v>75</v>
      </c>
      <c r="P52" s="377" t="s">
        <v>59</v>
      </c>
      <c r="Q52" s="378" t="s">
        <v>100</v>
      </c>
      <c r="R52" s="380"/>
      <c r="S52" s="283"/>
    </row>
    <row r="53" s="284" customFormat="1" ht="24" customHeight="1" spans="1:19">
      <c r="A53" s="371">
        <v>28</v>
      </c>
      <c r="B53" s="372" t="s">
        <v>53</v>
      </c>
      <c r="C53" s="373" t="s">
        <v>54</v>
      </c>
      <c r="D53" s="374">
        <v>7318159090</v>
      </c>
      <c r="E53" s="375">
        <v>24.76</v>
      </c>
      <c r="F53" s="383">
        <f t="shared" si="2"/>
        <v>22.76</v>
      </c>
      <c r="G53" s="376">
        <v>4.79</v>
      </c>
      <c r="H53" s="375">
        <f t="shared" si="4"/>
        <v>153.28</v>
      </c>
      <c r="I53" s="374">
        <v>32</v>
      </c>
      <c r="J53" s="374" t="s">
        <v>55</v>
      </c>
      <c r="K53" s="374" t="s">
        <v>56</v>
      </c>
      <c r="L53" s="374">
        <v>2</v>
      </c>
      <c r="M53" s="374" t="s">
        <v>57</v>
      </c>
      <c r="N53" s="375">
        <v>0.0034048</v>
      </c>
      <c r="O53" s="372" t="s">
        <v>75</v>
      </c>
      <c r="P53" s="377" t="s">
        <v>59</v>
      </c>
      <c r="Q53" s="378" t="s">
        <v>101</v>
      </c>
      <c r="R53" s="380"/>
      <c r="S53" s="283"/>
    </row>
    <row r="54" s="284" customFormat="1" ht="24" customHeight="1" spans="1:19">
      <c r="A54" s="371">
        <v>29</v>
      </c>
      <c r="B54" s="372" t="s">
        <v>53</v>
      </c>
      <c r="C54" s="373" t="s">
        <v>54</v>
      </c>
      <c r="D54" s="374">
        <v>7318159090</v>
      </c>
      <c r="E54" s="375">
        <v>15</v>
      </c>
      <c r="F54" s="383">
        <f t="shared" si="2"/>
        <v>14</v>
      </c>
      <c r="G54" s="376">
        <v>4.79</v>
      </c>
      <c r="H54" s="375">
        <f t="shared" si="4"/>
        <v>76.64</v>
      </c>
      <c r="I54" s="374">
        <v>16</v>
      </c>
      <c r="J54" s="374" t="s">
        <v>55</v>
      </c>
      <c r="K54" s="374" t="s">
        <v>56</v>
      </c>
      <c r="L54" s="374">
        <v>1</v>
      </c>
      <c r="M54" s="374" t="s">
        <v>57</v>
      </c>
      <c r="N54" s="375">
        <v>0.017024</v>
      </c>
      <c r="O54" s="372" t="s">
        <v>75</v>
      </c>
      <c r="P54" s="377" t="s">
        <v>59</v>
      </c>
      <c r="Q54" s="378" t="s">
        <v>102</v>
      </c>
      <c r="R54" s="380"/>
      <c r="S54" s="283"/>
    </row>
    <row r="55" s="284" customFormat="1" ht="24" customHeight="1" spans="1:19">
      <c r="A55" s="371">
        <v>30</v>
      </c>
      <c r="B55" s="372" t="s">
        <v>53</v>
      </c>
      <c r="C55" s="385" t="s">
        <v>54</v>
      </c>
      <c r="D55" s="386">
        <v>7318159090</v>
      </c>
      <c r="E55" s="375">
        <v>31.2</v>
      </c>
      <c r="F55" s="383">
        <f t="shared" si="2"/>
        <v>29.2</v>
      </c>
      <c r="G55" s="387">
        <v>12.81</v>
      </c>
      <c r="H55" s="375">
        <f t="shared" si="4"/>
        <v>153.72</v>
      </c>
      <c r="I55" s="374">
        <v>12</v>
      </c>
      <c r="J55" s="374" t="s">
        <v>55</v>
      </c>
      <c r="K55" s="374" t="s">
        <v>56</v>
      </c>
      <c r="L55" s="386">
        <v>2</v>
      </c>
      <c r="M55" s="374" t="s">
        <v>57</v>
      </c>
      <c r="N55" s="388">
        <v>0.02088</v>
      </c>
      <c r="O55" s="372" t="s">
        <v>75</v>
      </c>
      <c r="P55" s="377" t="s">
        <v>59</v>
      </c>
      <c r="Q55" s="378" t="s">
        <v>103</v>
      </c>
      <c r="R55" s="380"/>
      <c r="S55" s="283"/>
    </row>
    <row r="56" s="284" customFormat="1" ht="24" customHeight="1" spans="1:19">
      <c r="A56" s="371">
        <v>31</v>
      </c>
      <c r="B56" s="372" t="s">
        <v>53</v>
      </c>
      <c r="C56" s="385" t="s">
        <v>54</v>
      </c>
      <c r="D56" s="386">
        <v>7318159090</v>
      </c>
      <c r="E56" s="375">
        <v>36</v>
      </c>
      <c r="F56" s="383">
        <f t="shared" si="2"/>
        <v>34</v>
      </c>
      <c r="G56" s="387">
        <v>38.07</v>
      </c>
      <c r="H56" s="375">
        <f t="shared" si="4"/>
        <v>152.28</v>
      </c>
      <c r="I56" s="374">
        <v>4</v>
      </c>
      <c r="J56" s="374" t="s">
        <v>55</v>
      </c>
      <c r="K56" s="374" t="s">
        <v>56</v>
      </c>
      <c r="L56" s="386">
        <v>2</v>
      </c>
      <c r="M56" s="374" t="s">
        <v>57</v>
      </c>
      <c r="N56" s="388">
        <v>0.06555</v>
      </c>
      <c r="O56" s="372" t="s">
        <v>75</v>
      </c>
      <c r="P56" s="377" t="s">
        <v>59</v>
      </c>
      <c r="Q56" s="378" t="s">
        <v>104</v>
      </c>
      <c r="R56" s="380"/>
      <c r="S56" s="283"/>
    </row>
    <row r="57" s="284" customFormat="1" ht="24" customHeight="1" spans="1:19">
      <c r="A57" s="371">
        <v>32</v>
      </c>
      <c r="B57" s="372" t="s">
        <v>53</v>
      </c>
      <c r="C57" s="385" t="s">
        <v>54</v>
      </c>
      <c r="D57" s="386">
        <v>7318159090</v>
      </c>
      <c r="E57" s="375">
        <v>34</v>
      </c>
      <c r="F57" s="383">
        <f t="shared" ref="F57:F78" si="5">E57-L57</f>
        <v>32</v>
      </c>
      <c r="G57" s="387">
        <v>6.41</v>
      </c>
      <c r="H57" s="375">
        <f t="shared" ref="H57:H78" si="6">G57*I57</f>
        <v>153.84</v>
      </c>
      <c r="I57" s="374">
        <v>24</v>
      </c>
      <c r="J57" s="374" t="s">
        <v>55</v>
      </c>
      <c r="K57" s="374" t="s">
        <v>56</v>
      </c>
      <c r="L57" s="386">
        <v>2</v>
      </c>
      <c r="M57" s="374" t="s">
        <v>57</v>
      </c>
      <c r="N57" s="388">
        <v>0.034048</v>
      </c>
      <c r="O57" s="372" t="s">
        <v>75</v>
      </c>
      <c r="P57" s="377" t="s">
        <v>59</v>
      </c>
      <c r="Q57" s="378" t="s">
        <v>105</v>
      </c>
      <c r="R57" s="380"/>
      <c r="S57" s="283"/>
    </row>
    <row r="58" s="284" customFormat="1" ht="24" customHeight="1" spans="1:19">
      <c r="A58" s="371">
        <v>33</v>
      </c>
      <c r="B58" s="372" t="s">
        <v>53</v>
      </c>
      <c r="C58" s="385" t="s">
        <v>54</v>
      </c>
      <c r="D58" s="386">
        <v>7318159090</v>
      </c>
      <c r="E58" s="375">
        <v>19.5</v>
      </c>
      <c r="F58" s="383">
        <f t="shared" si="5"/>
        <v>18.5</v>
      </c>
      <c r="G58" s="387">
        <v>16.53</v>
      </c>
      <c r="H58" s="375">
        <f t="shared" si="6"/>
        <v>99.18</v>
      </c>
      <c r="I58" s="374">
        <v>6</v>
      </c>
      <c r="J58" s="374" t="s">
        <v>55</v>
      </c>
      <c r="K58" s="374" t="s">
        <v>56</v>
      </c>
      <c r="L58" s="386">
        <v>1</v>
      </c>
      <c r="M58" s="374" t="s">
        <v>57</v>
      </c>
      <c r="N58" s="388">
        <v>0.01392</v>
      </c>
      <c r="O58" s="372" t="s">
        <v>75</v>
      </c>
      <c r="P58" s="377" t="s">
        <v>59</v>
      </c>
      <c r="Q58" s="378" t="s">
        <v>106</v>
      </c>
      <c r="R58" s="380"/>
      <c r="S58" s="283"/>
    </row>
    <row r="59" s="284" customFormat="1" ht="24" customHeight="1" spans="1:19">
      <c r="A59" s="371">
        <v>34</v>
      </c>
      <c r="B59" s="372" t="s">
        <v>53</v>
      </c>
      <c r="C59" s="385" t="s">
        <v>54</v>
      </c>
      <c r="D59" s="386">
        <v>7318159090</v>
      </c>
      <c r="E59" s="375">
        <v>30.6</v>
      </c>
      <c r="F59" s="383">
        <f t="shared" si="5"/>
        <v>28.6</v>
      </c>
      <c r="G59" s="387">
        <v>26.46</v>
      </c>
      <c r="H59" s="375">
        <f t="shared" si="6"/>
        <v>105.84</v>
      </c>
      <c r="I59" s="374">
        <v>4</v>
      </c>
      <c r="J59" s="374" t="s">
        <v>55</v>
      </c>
      <c r="K59" s="374" t="s">
        <v>56</v>
      </c>
      <c r="L59" s="386">
        <v>2</v>
      </c>
      <c r="M59" s="374" t="s">
        <v>57</v>
      </c>
      <c r="N59" s="388">
        <v>0.043056</v>
      </c>
      <c r="O59" s="372" t="s">
        <v>75</v>
      </c>
      <c r="P59" s="377" t="s">
        <v>59</v>
      </c>
      <c r="Q59" s="378" t="s">
        <v>107</v>
      </c>
      <c r="R59" s="380"/>
      <c r="S59" s="283"/>
    </row>
    <row r="60" s="284" customFormat="1" ht="24" customHeight="1" spans="1:19">
      <c r="A60" s="371">
        <v>35</v>
      </c>
      <c r="B60" s="372" t="s">
        <v>53</v>
      </c>
      <c r="C60" s="385" t="s">
        <v>54</v>
      </c>
      <c r="D60" s="386">
        <v>7318159090</v>
      </c>
      <c r="E60" s="375">
        <v>12.3</v>
      </c>
      <c r="F60" s="383">
        <f t="shared" si="5"/>
        <v>11.3</v>
      </c>
      <c r="G60" s="387">
        <v>25.63</v>
      </c>
      <c r="H60" s="375">
        <f t="shared" si="6"/>
        <v>51.26</v>
      </c>
      <c r="I60" s="374">
        <v>2</v>
      </c>
      <c r="J60" s="374" t="s">
        <v>55</v>
      </c>
      <c r="K60" s="374" t="s">
        <v>56</v>
      </c>
      <c r="L60" s="386">
        <v>1</v>
      </c>
      <c r="M60" s="374" t="s">
        <v>57</v>
      </c>
      <c r="N60" s="388">
        <v>0.0228</v>
      </c>
      <c r="O60" s="372" t="s">
        <v>75</v>
      </c>
      <c r="P60" s="377" t="s">
        <v>59</v>
      </c>
      <c r="Q60" s="378" t="s">
        <v>108</v>
      </c>
      <c r="R60" s="380"/>
      <c r="S60" s="283"/>
    </row>
    <row r="61" s="284" customFormat="1" ht="24" customHeight="1" spans="1:19">
      <c r="A61" s="371">
        <v>36</v>
      </c>
      <c r="B61" s="372" t="s">
        <v>53</v>
      </c>
      <c r="C61" s="385" t="s">
        <v>54</v>
      </c>
      <c r="D61" s="386">
        <v>7318159090</v>
      </c>
      <c r="E61" s="375">
        <v>16.4</v>
      </c>
      <c r="F61" s="383">
        <f t="shared" si="5"/>
        <v>15.4</v>
      </c>
      <c r="G61" s="387">
        <v>9.01</v>
      </c>
      <c r="H61" s="375">
        <f t="shared" si="6"/>
        <v>72.08</v>
      </c>
      <c r="I61" s="374">
        <v>8</v>
      </c>
      <c r="J61" s="374" t="s">
        <v>55</v>
      </c>
      <c r="K61" s="374" t="s">
        <v>56</v>
      </c>
      <c r="L61" s="386">
        <v>1</v>
      </c>
      <c r="M61" s="374" t="s">
        <v>57</v>
      </c>
      <c r="N61" s="388">
        <v>0.017024</v>
      </c>
      <c r="O61" s="372" t="s">
        <v>75</v>
      </c>
      <c r="P61" s="377" t="s">
        <v>59</v>
      </c>
      <c r="Q61" s="378" t="s">
        <v>109</v>
      </c>
      <c r="R61" s="380"/>
      <c r="S61" s="283"/>
    </row>
    <row r="62" s="284" customFormat="1" ht="24" customHeight="1" spans="1:19">
      <c r="A62" s="371">
        <v>37</v>
      </c>
      <c r="B62" s="372" t="s">
        <v>53</v>
      </c>
      <c r="C62" s="385" t="s">
        <v>54</v>
      </c>
      <c r="D62" s="386">
        <v>7318159090</v>
      </c>
      <c r="E62" s="375">
        <v>11</v>
      </c>
      <c r="F62" s="383">
        <f t="shared" si="5"/>
        <v>10</v>
      </c>
      <c r="G62" s="387">
        <v>3.58</v>
      </c>
      <c r="H62" s="375">
        <f t="shared" si="6"/>
        <v>57.28</v>
      </c>
      <c r="I62" s="374">
        <v>16</v>
      </c>
      <c r="J62" s="374" t="s">
        <v>55</v>
      </c>
      <c r="K62" s="374" t="s">
        <v>56</v>
      </c>
      <c r="L62" s="386">
        <v>1</v>
      </c>
      <c r="M62" s="374" t="s">
        <v>57</v>
      </c>
      <c r="N62" s="388">
        <v>0.017024</v>
      </c>
      <c r="O62" s="372" t="s">
        <v>75</v>
      </c>
      <c r="P62" s="377" t="s">
        <v>59</v>
      </c>
      <c r="Q62" s="378" t="s">
        <v>110</v>
      </c>
      <c r="R62" s="380"/>
      <c r="S62" s="283"/>
    </row>
    <row r="63" s="284" customFormat="1" ht="24" customHeight="1" spans="1:19">
      <c r="A63" s="371">
        <v>38</v>
      </c>
      <c r="B63" s="372" t="s">
        <v>53</v>
      </c>
      <c r="C63" s="385" t="s">
        <v>54</v>
      </c>
      <c r="D63" s="386">
        <v>7318159090</v>
      </c>
      <c r="E63" s="375">
        <v>12.5</v>
      </c>
      <c r="F63" s="383">
        <f t="shared" si="5"/>
        <v>11.5</v>
      </c>
      <c r="G63" s="387">
        <v>5.29</v>
      </c>
      <c r="H63" s="375">
        <f t="shared" si="6"/>
        <v>63.48</v>
      </c>
      <c r="I63" s="374">
        <v>12</v>
      </c>
      <c r="J63" s="374" t="s">
        <v>55</v>
      </c>
      <c r="K63" s="374" t="s">
        <v>56</v>
      </c>
      <c r="L63" s="386">
        <v>1</v>
      </c>
      <c r="M63" s="374" t="s">
        <v>57</v>
      </c>
      <c r="N63" s="388">
        <v>0.014616</v>
      </c>
      <c r="O63" s="372" t="s">
        <v>75</v>
      </c>
      <c r="P63" s="377" t="s">
        <v>59</v>
      </c>
      <c r="Q63" s="378" t="s">
        <v>111</v>
      </c>
      <c r="R63" s="380"/>
      <c r="S63" s="283"/>
    </row>
    <row r="64" s="284" customFormat="1" ht="24" customHeight="1" spans="1:19">
      <c r="A64" s="371">
        <v>39</v>
      </c>
      <c r="B64" s="372" t="s">
        <v>53</v>
      </c>
      <c r="C64" s="385" t="s">
        <v>54</v>
      </c>
      <c r="D64" s="386">
        <v>7318159090</v>
      </c>
      <c r="E64" s="375">
        <v>71.1</v>
      </c>
      <c r="F64" s="383">
        <f t="shared" si="5"/>
        <v>62.1</v>
      </c>
      <c r="G64" s="387">
        <v>16.02</v>
      </c>
      <c r="H64" s="375">
        <f t="shared" si="6"/>
        <v>288.36</v>
      </c>
      <c r="I64" s="374">
        <v>18</v>
      </c>
      <c r="J64" s="374" t="s">
        <v>55</v>
      </c>
      <c r="K64" s="374" t="s">
        <v>56</v>
      </c>
      <c r="L64" s="386">
        <v>9</v>
      </c>
      <c r="M64" s="374" t="s">
        <v>57</v>
      </c>
      <c r="N64" s="388">
        <v>0.178794</v>
      </c>
      <c r="O64" s="372" t="s">
        <v>75</v>
      </c>
      <c r="P64" s="377" t="s">
        <v>59</v>
      </c>
      <c r="Q64" s="378" t="s">
        <v>112</v>
      </c>
      <c r="R64" s="380"/>
      <c r="S64" s="283"/>
    </row>
    <row r="65" s="284" customFormat="1" ht="24" customHeight="1" spans="1:19">
      <c r="A65" s="371">
        <v>40</v>
      </c>
      <c r="B65" s="372" t="s">
        <v>53</v>
      </c>
      <c r="C65" s="385" t="s">
        <v>54</v>
      </c>
      <c r="D65" s="386">
        <v>7318159090</v>
      </c>
      <c r="E65" s="375">
        <v>25.6</v>
      </c>
      <c r="F65" s="383">
        <f t="shared" si="5"/>
        <v>21.6</v>
      </c>
      <c r="G65" s="387">
        <v>12.87</v>
      </c>
      <c r="H65" s="375">
        <f t="shared" si="6"/>
        <v>102.96</v>
      </c>
      <c r="I65" s="374">
        <v>8</v>
      </c>
      <c r="J65" s="374" t="s">
        <v>55</v>
      </c>
      <c r="K65" s="374" t="s">
        <v>56</v>
      </c>
      <c r="L65" s="386">
        <v>4</v>
      </c>
      <c r="M65" s="374" t="s">
        <v>57</v>
      </c>
      <c r="N65" s="388">
        <v>0.063492</v>
      </c>
      <c r="O65" s="372" t="s">
        <v>75</v>
      </c>
      <c r="P65" s="377" t="s">
        <v>59</v>
      </c>
      <c r="Q65" s="378" t="s">
        <v>113</v>
      </c>
      <c r="R65" s="380"/>
      <c r="S65" s="283"/>
    </row>
    <row r="66" s="284" customFormat="1" ht="24" customHeight="1" spans="1:19">
      <c r="A66" s="371">
        <v>41</v>
      </c>
      <c r="B66" s="372" t="s">
        <v>53</v>
      </c>
      <c r="C66" s="385" t="s">
        <v>54</v>
      </c>
      <c r="D66" s="386">
        <v>7318159090</v>
      </c>
      <c r="E66" s="375">
        <v>51</v>
      </c>
      <c r="F66" s="383">
        <f t="shared" si="5"/>
        <v>45</v>
      </c>
      <c r="G66" s="387">
        <v>17.05</v>
      </c>
      <c r="H66" s="375">
        <f t="shared" si="6"/>
        <v>204.6</v>
      </c>
      <c r="I66" s="374">
        <v>12</v>
      </c>
      <c r="J66" s="374" t="s">
        <v>55</v>
      </c>
      <c r="K66" s="374" t="s">
        <v>56</v>
      </c>
      <c r="L66" s="386">
        <v>6</v>
      </c>
      <c r="M66" s="374" t="s">
        <v>57</v>
      </c>
      <c r="N66" s="388">
        <v>0.119196</v>
      </c>
      <c r="O66" s="372" t="s">
        <v>75</v>
      </c>
      <c r="P66" s="377" t="s">
        <v>59</v>
      </c>
      <c r="Q66" s="378" t="s">
        <v>114</v>
      </c>
      <c r="R66" s="380"/>
      <c r="S66" s="283"/>
    </row>
    <row r="67" s="284" customFormat="1" ht="24" customHeight="1" spans="1:19">
      <c r="A67" s="371">
        <v>42</v>
      </c>
      <c r="B67" s="372" t="s">
        <v>53</v>
      </c>
      <c r="C67" s="385" t="s">
        <v>54</v>
      </c>
      <c r="D67" s="386">
        <v>7318159090</v>
      </c>
      <c r="E67" s="375">
        <v>47.9</v>
      </c>
      <c r="F67" s="383">
        <f t="shared" si="5"/>
        <v>42.9</v>
      </c>
      <c r="G67" s="387">
        <v>19.61</v>
      </c>
      <c r="H67" s="375">
        <f t="shared" si="6"/>
        <v>196.1</v>
      </c>
      <c r="I67" s="374">
        <v>10</v>
      </c>
      <c r="J67" s="374" t="s">
        <v>55</v>
      </c>
      <c r="K67" s="374" t="s">
        <v>56</v>
      </c>
      <c r="L67" s="386">
        <v>5</v>
      </c>
      <c r="M67" s="374" t="s">
        <v>57</v>
      </c>
      <c r="N67" s="388">
        <v>0.11868</v>
      </c>
      <c r="O67" s="372" t="s">
        <v>75</v>
      </c>
      <c r="P67" s="377" t="s">
        <v>59</v>
      </c>
      <c r="Q67" s="378" t="s">
        <v>115</v>
      </c>
      <c r="R67" s="380"/>
      <c r="S67" s="283"/>
    </row>
    <row r="68" s="284" customFormat="1" ht="24" customHeight="1" spans="1:19">
      <c r="A68" s="371">
        <v>43</v>
      </c>
      <c r="B68" s="372" t="s">
        <v>53</v>
      </c>
      <c r="C68" s="385" t="s">
        <v>54</v>
      </c>
      <c r="D68" s="386">
        <v>7318159090</v>
      </c>
      <c r="E68" s="375">
        <v>51.9</v>
      </c>
      <c r="F68" s="383">
        <f t="shared" si="5"/>
        <v>48.9</v>
      </c>
      <c r="G68" s="387">
        <v>6.41</v>
      </c>
      <c r="H68" s="375">
        <f t="shared" si="6"/>
        <v>230.76</v>
      </c>
      <c r="I68" s="374">
        <v>36</v>
      </c>
      <c r="J68" s="374" t="s">
        <v>55</v>
      </c>
      <c r="K68" s="374" t="s">
        <v>56</v>
      </c>
      <c r="L68" s="386">
        <v>3</v>
      </c>
      <c r="M68" s="374" t="s">
        <v>57</v>
      </c>
      <c r="N68" s="388">
        <v>0.043848</v>
      </c>
      <c r="O68" s="372" t="s">
        <v>75</v>
      </c>
      <c r="P68" s="377" t="s">
        <v>59</v>
      </c>
      <c r="Q68" s="378" t="s">
        <v>116</v>
      </c>
      <c r="R68" s="380"/>
      <c r="S68" s="283"/>
    </row>
    <row r="69" s="284" customFormat="1" ht="24" customHeight="1" spans="1:19">
      <c r="A69" s="371">
        <v>44</v>
      </c>
      <c r="B69" s="372" t="s">
        <v>53</v>
      </c>
      <c r="C69" s="385" t="s">
        <v>54</v>
      </c>
      <c r="D69" s="386">
        <v>7318159090</v>
      </c>
      <c r="E69" s="375">
        <v>13.5</v>
      </c>
      <c r="F69" s="383">
        <f t="shared" si="5"/>
        <v>12.5</v>
      </c>
      <c r="G69" s="387">
        <v>1.86</v>
      </c>
      <c r="H69" s="375">
        <f t="shared" si="6"/>
        <v>55.8</v>
      </c>
      <c r="I69" s="374">
        <v>30</v>
      </c>
      <c r="J69" s="374" t="s">
        <v>55</v>
      </c>
      <c r="K69" s="374" t="s">
        <v>56</v>
      </c>
      <c r="L69" s="386">
        <v>1</v>
      </c>
      <c r="M69" s="374" t="s">
        <v>57</v>
      </c>
      <c r="N69" s="388">
        <v>0.01288</v>
      </c>
      <c r="O69" s="372" t="s">
        <v>75</v>
      </c>
      <c r="P69" s="377" t="s">
        <v>59</v>
      </c>
      <c r="Q69" s="378" t="s">
        <v>117</v>
      </c>
      <c r="R69" s="380"/>
      <c r="S69" s="283"/>
    </row>
    <row r="70" s="284" customFormat="1" ht="24" customHeight="1" spans="1:19">
      <c r="A70" s="371">
        <v>45</v>
      </c>
      <c r="B70" s="372" t="s">
        <v>53</v>
      </c>
      <c r="C70" s="385" t="s">
        <v>54</v>
      </c>
      <c r="D70" s="386">
        <v>7318159090</v>
      </c>
      <c r="E70" s="375">
        <v>76</v>
      </c>
      <c r="F70" s="383">
        <f t="shared" si="5"/>
        <v>71</v>
      </c>
      <c r="G70" s="387">
        <v>32.69</v>
      </c>
      <c r="H70" s="375">
        <f t="shared" si="6"/>
        <v>326.9</v>
      </c>
      <c r="I70" s="374">
        <v>10</v>
      </c>
      <c r="J70" s="374" t="s">
        <v>55</v>
      </c>
      <c r="K70" s="374" t="s">
        <v>56</v>
      </c>
      <c r="L70" s="386">
        <v>5</v>
      </c>
      <c r="M70" s="374" t="s">
        <v>57</v>
      </c>
      <c r="N70" s="388">
        <v>0.163875</v>
      </c>
      <c r="O70" s="372" t="s">
        <v>75</v>
      </c>
      <c r="P70" s="377" t="s">
        <v>59</v>
      </c>
      <c r="Q70" s="378" t="s">
        <v>118</v>
      </c>
      <c r="R70" s="380"/>
      <c r="S70" s="283"/>
    </row>
    <row r="71" s="284" customFormat="1" ht="24" customHeight="1" spans="1:19">
      <c r="A71" s="371">
        <v>46</v>
      </c>
      <c r="B71" s="372" t="s">
        <v>53</v>
      </c>
      <c r="C71" s="385" t="s">
        <v>54</v>
      </c>
      <c r="D71" s="386">
        <v>7318159090</v>
      </c>
      <c r="E71" s="375">
        <v>153.4</v>
      </c>
      <c r="F71" s="383">
        <f t="shared" si="5"/>
        <v>140.4</v>
      </c>
      <c r="G71" s="387">
        <v>3.27</v>
      </c>
      <c r="H71" s="375">
        <f t="shared" si="6"/>
        <v>680.16</v>
      </c>
      <c r="I71" s="374">
        <v>208</v>
      </c>
      <c r="J71" s="374" t="s">
        <v>55</v>
      </c>
      <c r="K71" s="374" t="s">
        <v>56</v>
      </c>
      <c r="L71" s="386">
        <v>13</v>
      </c>
      <c r="M71" s="374" t="s">
        <v>57</v>
      </c>
      <c r="N71" s="388">
        <v>0.221312</v>
      </c>
      <c r="O71" s="372" t="s">
        <v>75</v>
      </c>
      <c r="P71" s="377" t="s">
        <v>59</v>
      </c>
      <c r="Q71" s="378" t="s">
        <v>119</v>
      </c>
      <c r="R71" s="380"/>
      <c r="S71" s="283"/>
    </row>
    <row r="72" s="284" customFormat="1" ht="24" customHeight="1" spans="1:19">
      <c r="A72" s="371">
        <v>47</v>
      </c>
      <c r="B72" s="372" t="s">
        <v>53</v>
      </c>
      <c r="C72" s="385" t="s">
        <v>54</v>
      </c>
      <c r="D72" s="386">
        <v>7318159090</v>
      </c>
      <c r="E72" s="375">
        <v>79.8</v>
      </c>
      <c r="F72" s="383">
        <f t="shared" si="5"/>
        <v>73.8</v>
      </c>
      <c r="G72" s="387">
        <v>24.51</v>
      </c>
      <c r="H72" s="375">
        <f t="shared" si="6"/>
        <v>294.12</v>
      </c>
      <c r="I72" s="374">
        <v>12</v>
      </c>
      <c r="J72" s="374" t="s">
        <v>55</v>
      </c>
      <c r="K72" s="374" t="s">
        <v>56</v>
      </c>
      <c r="L72" s="386">
        <v>6</v>
      </c>
      <c r="M72" s="374" t="s">
        <v>57</v>
      </c>
      <c r="N72" s="388">
        <v>0.142416</v>
      </c>
      <c r="O72" s="372" t="s">
        <v>75</v>
      </c>
      <c r="P72" s="377" t="s">
        <v>59</v>
      </c>
      <c r="Q72" s="378" t="s">
        <v>120</v>
      </c>
      <c r="R72" s="380"/>
      <c r="S72" s="283"/>
    </row>
    <row r="73" s="284" customFormat="1" ht="24" customHeight="1" spans="1:19">
      <c r="A73" s="371">
        <v>48</v>
      </c>
      <c r="B73" s="372" t="s">
        <v>53</v>
      </c>
      <c r="C73" s="385" t="s">
        <v>54</v>
      </c>
      <c r="D73" s="386">
        <v>7318159090</v>
      </c>
      <c r="E73" s="375">
        <v>50</v>
      </c>
      <c r="F73" s="383">
        <f t="shared" si="5"/>
        <v>46</v>
      </c>
      <c r="G73" s="387">
        <v>8.41</v>
      </c>
      <c r="H73" s="375">
        <f t="shared" si="6"/>
        <v>201.84</v>
      </c>
      <c r="I73" s="374">
        <v>24</v>
      </c>
      <c r="J73" s="374" t="s">
        <v>55</v>
      </c>
      <c r="K73" s="374" t="s">
        <v>56</v>
      </c>
      <c r="L73" s="386">
        <v>4</v>
      </c>
      <c r="M73" s="374" t="s">
        <v>57</v>
      </c>
      <c r="N73" s="388">
        <v>0.05568</v>
      </c>
      <c r="O73" s="372" t="s">
        <v>75</v>
      </c>
      <c r="P73" s="377" t="s">
        <v>59</v>
      </c>
      <c r="Q73" s="378" t="s">
        <v>121</v>
      </c>
      <c r="R73" s="380"/>
      <c r="S73" s="283"/>
    </row>
    <row r="74" s="284" customFormat="1" ht="24" customHeight="1" spans="1:19">
      <c r="A74" s="371">
        <v>49</v>
      </c>
      <c r="B74" s="372" t="s">
        <v>53</v>
      </c>
      <c r="C74" s="385" t="s">
        <v>54</v>
      </c>
      <c r="D74" s="386">
        <v>7318159090</v>
      </c>
      <c r="E74" s="375">
        <v>109.8</v>
      </c>
      <c r="F74" s="383">
        <f t="shared" si="5"/>
        <v>100.8</v>
      </c>
      <c r="G74" s="387">
        <v>21.45</v>
      </c>
      <c r="H74" s="375">
        <f t="shared" si="6"/>
        <v>386.1</v>
      </c>
      <c r="I74" s="374">
        <v>18</v>
      </c>
      <c r="J74" s="374" t="s">
        <v>55</v>
      </c>
      <c r="K74" s="374" t="s">
        <v>56</v>
      </c>
      <c r="L74" s="386">
        <v>9</v>
      </c>
      <c r="M74" s="374" t="s">
        <v>57</v>
      </c>
      <c r="N74" s="388">
        <v>0.178794</v>
      </c>
      <c r="O74" s="372" t="s">
        <v>75</v>
      </c>
      <c r="P74" s="377" t="s">
        <v>59</v>
      </c>
      <c r="Q74" s="378" t="s">
        <v>122</v>
      </c>
      <c r="R74" s="380"/>
      <c r="S74" s="283"/>
    </row>
    <row r="75" s="284" customFormat="1" ht="24" customHeight="1" spans="1:19">
      <c r="A75" s="371">
        <v>50</v>
      </c>
      <c r="B75" s="372" t="s">
        <v>53</v>
      </c>
      <c r="C75" s="385" t="s">
        <v>54</v>
      </c>
      <c r="D75" s="386">
        <v>7318159090</v>
      </c>
      <c r="E75" s="375">
        <v>99</v>
      </c>
      <c r="F75" s="383">
        <f t="shared" si="5"/>
        <v>93</v>
      </c>
      <c r="G75" s="387">
        <v>4.29</v>
      </c>
      <c r="H75" s="375">
        <f t="shared" si="6"/>
        <v>411.84</v>
      </c>
      <c r="I75" s="374">
        <v>96</v>
      </c>
      <c r="J75" s="374" t="s">
        <v>55</v>
      </c>
      <c r="K75" s="374" t="s">
        <v>56</v>
      </c>
      <c r="L75" s="386">
        <v>6</v>
      </c>
      <c r="M75" s="374" t="s">
        <v>57</v>
      </c>
      <c r="N75" s="388">
        <v>0.102144</v>
      </c>
      <c r="O75" s="372" t="s">
        <v>75</v>
      </c>
      <c r="P75" s="377" t="s">
        <v>59</v>
      </c>
      <c r="Q75" s="378" t="s">
        <v>123</v>
      </c>
      <c r="R75" s="380"/>
      <c r="S75" s="283"/>
    </row>
    <row r="76" ht="21" spans="1:19">
      <c r="A76" s="389"/>
      <c r="B76" s="390"/>
      <c r="C76" s="391"/>
      <c r="D76" s="392"/>
      <c r="E76" s="393">
        <f t="shared" ref="E76:I76" si="7">SUM(E26:E75)</f>
        <v>2228.76</v>
      </c>
      <c r="F76" s="394">
        <f t="shared" si="7"/>
        <v>1958.76</v>
      </c>
      <c r="G76" s="395"/>
      <c r="H76" s="396">
        <f t="shared" si="7"/>
        <v>9282.33</v>
      </c>
      <c r="I76" s="397">
        <f t="shared" si="7"/>
        <v>1071</v>
      </c>
      <c r="J76" s="398"/>
      <c r="K76" s="399" t="s">
        <v>56</v>
      </c>
      <c r="L76" s="397">
        <f>SUM(L26:L75)</f>
        <v>270</v>
      </c>
      <c r="M76" s="390" t="s">
        <v>57</v>
      </c>
      <c r="N76" s="393">
        <f>SUM(N26:N75)</f>
        <v>3.89283205</v>
      </c>
      <c r="O76" s="400"/>
      <c r="P76" s="401"/>
      <c r="Q76" s="378"/>
    </row>
    <row r="77" ht="20.25" spans="1:19">
      <c r="A77" s="402" t="s">
        <v>124</v>
      </c>
      <c r="B77" s="403"/>
      <c r="C77" s="404"/>
      <c r="D77" s="405" t="s">
        <v>125</v>
      </c>
      <c r="E77" s="405"/>
      <c r="F77" s="405"/>
      <c r="G77" s="405"/>
      <c r="H77" s="405"/>
      <c r="I77" s="405"/>
      <c r="J77" s="405"/>
      <c r="K77" s="405"/>
      <c r="Q77" s="378"/>
    </row>
    <row r="79" spans="1:19">
      <c r="O79" s="406"/>
    </row>
    <row r="84" spans="7:7">
      <c r="G84" s="282"/>
    </row>
  </sheetData>
  <protectedRanges>
    <protectedRange sqref="B26:B29" name="区域9_1_3_2"/>
    <protectedRange sqref="B26:B32" name="区域9_1_3_2_1"/>
  </protectedRanges>
  <autoFilter xmlns:etc="http://www.wps.cn/officeDocument/2017/etCustomData" ref="A25:R77" etc:filterBottomFollowUsedRange="0">
    <extLst/>
  </autoFilter>
  <mergeCells count="37">
    <mergeCell ref="A1:C1"/>
    <mergeCell ref="F1:H1"/>
    <mergeCell ref="A2:C2"/>
    <mergeCell ref="G2:H2"/>
    <mergeCell ref="G3:H3"/>
    <mergeCell ref="G4:H4"/>
    <mergeCell ref="A5:C5"/>
    <mergeCell ref="F5:H5"/>
    <mergeCell ref="A6:C6"/>
    <mergeCell ref="G6:H6"/>
    <mergeCell ref="A7:C7"/>
    <mergeCell ref="G7:H7"/>
    <mergeCell ref="F8:H8"/>
    <mergeCell ref="G9:H9"/>
    <mergeCell ref="G10:H10"/>
    <mergeCell ref="G11:H11"/>
    <mergeCell ref="A12:C12"/>
    <mergeCell ref="G12:H12"/>
    <mergeCell ref="A13:C13"/>
    <mergeCell ref="G13:H13"/>
    <mergeCell ref="G14:H14"/>
    <mergeCell ref="G15:H15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  <mergeCell ref="A21:C21"/>
    <mergeCell ref="A22:C22"/>
    <mergeCell ref="G22:H22"/>
    <mergeCell ref="A8:C11"/>
    <mergeCell ref="A3:C4"/>
    <mergeCell ref="A14:C16"/>
  </mergeCells>
  <dataValidations count="4">
    <dataValidation type="list" allowBlank="1" showInputMessage="1" showErrorMessage="1" sqref="G11">
      <formula1>"BY SEA,BY AIR"</formula1>
    </dataValidation>
    <dataValidation type="list" allowBlank="1" showInputMessage="1" showErrorMessage="1" sqref="G17:H17">
      <formula1>"FOB,CIF,CNF"</formula1>
    </dataValidation>
    <dataValidation type="list" allowBlank="1" showInputMessage="1" showErrorMessage="1" sqref="O76 X36:IV76">
      <formula1>"8"</formula1>
    </dataValidation>
    <dataValidation allowBlank="1" showInputMessage="1" showErrorMessage="1" sqref="P76:W76 A26:A76 Q1:W75 Q77:W1048576"/>
  </dataValidations>
  <hyperlinks>
    <hyperlink ref="A77" r:id="rId2" display="http://www.hscode.net/IntegrateQueries/QueryYS/"/>
  </hyperlinks>
  <pageMargins left="0" right="0" top="0" bottom="0" header="0" footer="0"/>
  <pageSetup paperSize="9" scale="62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0"/>
  <sheetViews>
    <sheetView zoomScale="70" zoomScaleNormal="70" workbookViewId="0">
      <selection activeCell="F9" sqref="F9"/>
    </sheetView>
  </sheetViews>
  <sheetFormatPr defaultColWidth="9" defaultRowHeight="17.25"/>
  <cols>
    <col min="1" max="1" width="24.75" style="237" customWidth="1"/>
    <col min="2" max="2" width="24.5" style="237" customWidth="1"/>
    <col min="3" max="3" width="14.625" style="237" customWidth="1"/>
    <col min="4" max="4" width="14.375" style="237" customWidth="1"/>
    <col min="5" max="5" width="10.25" style="237"/>
    <col min="6" max="7" width="19.625" style="237" customWidth="1"/>
    <col min="8" max="16384" width="9" style="237"/>
  </cols>
  <sheetData>
    <row r="1" ht="45.75" customHeight="1" spans="1:11">
      <c r="A1" s="238" t="str">
        <f>明细!G2</f>
        <v>上海福洺电子商务有限公司</v>
      </c>
      <c r="B1" s="238"/>
      <c r="C1" s="238"/>
      <c r="D1" s="238"/>
      <c r="E1" s="238"/>
      <c r="F1" s="238"/>
      <c r="G1" s="238"/>
    </row>
    <row r="2" ht="45.75" customHeight="1" spans="1:11">
      <c r="A2" s="239">
        <f>明细!G3</f>
        <v>0</v>
      </c>
      <c r="B2" s="239"/>
      <c r="C2" s="239"/>
      <c r="D2" s="239"/>
      <c r="E2" s="239"/>
      <c r="F2" s="239"/>
      <c r="G2" s="239"/>
    </row>
    <row r="3" ht="31" customHeight="1" spans="1:11">
      <c r="A3" s="240" t="s">
        <v>126</v>
      </c>
      <c r="B3" s="240"/>
      <c r="C3" s="240"/>
      <c r="D3" s="240"/>
      <c r="E3" s="240"/>
      <c r="F3" s="240"/>
      <c r="G3" s="240"/>
    </row>
    <row r="4" ht="25.5" customHeight="1" spans="1:11">
      <c r="A4" s="241"/>
      <c r="B4" s="242"/>
      <c r="C4" s="243"/>
      <c r="D4" s="243"/>
      <c r="E4" s="243"/>
      <c r="F4" s="241"/>
      <c r="G4" s="241"/>
    </row>
    <row r="5" s="209" customFormat="1" ht="24" customHeight="1" spans="1:11">
      <c r="A5" s="242" t="str">
        <f>明细!G10</f>
        <v>FOB SHANGHAI</v>
      </c>
      <c r="B5" s="244"/>
      <c r="C5" s="244"/>
      <c r="D5" s="245"/>
      <c r="E5" s="245"/>
      <c r="F5" s="246" t="s">
        <v>127</v>
      </c>
      <c r="G5" s="247" t="str">
        <f>明细!G9</f>
        <v>HY26011821-1</v>
      </c>
    </row>
    <row r="6" s="209" customFormat="1" ht="24" customHeight="1" spans="1:11">
      <c r="A6" s="244" t="s">
        <v>128</v>
      </c>
      <c r="B6" s="248" t="str">
        <f>明细!A7</f>
        <v>Amazon.com Services, Inc.
</v>
      </c>
      <c r="C6" s="249"/>
      <c r="D6" s="245"/>
      <c r="E6" s="245"/>
      <c r="F6" s="246" t="s">
        <v>129</v>
      </c>
      <c r="G6" s="250">
        <f>明细!G22</f>
        <v>46048</v>
      </c>
    </row>
    <row r="7" s="209" customFormat="1" ht="24" customHeight="1" spans="1:11">
      <c r="A7" s="245" t="s">
        <v>130</v>
      </c>
      <c r="B7" s="251" t="str">
        <f>明细!G13</f>
        <v>SHANGHAI</v>
      </c>
      <c r="C7" s="245"/>
      <c r="D7" s="245"/>
      <c r="E7" s="245"/>
      <c r="F7" s="252" t="s">
        <v>131</v>
      </c>
      <c r="G7" s="247" t="str">
        <f>明细!G15</f>
        <v>美国</v>
      </c>
      <c r="H7" s="253"/>
    </row>
    <row r="8" s="209" customFormat="1" ht="38.25" customHeight="1" spans="1:11">
      <c r="A8" s="254" t="s">
        <v>132</v>
      </c>
      <c r="B8" s="254"/>
      <c r="C8" s="254"/>
      <c r="D8" s="255" t="s">
        <v>133</v>
      </c>
      <c r="E8" s="254"/>
      <c r="F8" s="255" t="s">
        <v>134</v>
      </c>
      <c r="G8" s="254" t="s">
        <v>135</v>
      </c>
    </row>
    <row r="9" s="209" customFormat="1" ht="38.1" customHeight="1" spans="1:11">
      <c r="A9" s="256" t="str">
        <f>明细!B26</f>
        <v>SCREWS</v>
      </c>
      <c r="B9" s="257" t="str">
        <f>明细!C26</f>
        <v>螺钉</v>
      </c>
      <c r="C9" s="257"/>
      <c r="D9" s="258">
        <f>明细!I26</f>
        <v>16</v>
      </c>
      <c r="E9" s="259" t="str">
        <f>明细!K26</f>
        <v>PCS</v>
      </c>
      <c r="F9" s="260">
        <f>明细!G26</f>
        <v>6.22</v>
      </c>
      <c r="G9" s="260">
        <f>明细!H26</f>
        <v>99.52</v>
      </c>
      <c r="H9" s="209" t="str">
        <f>明细!Q26</f>
        <v>YS323</v>
      </c>
    </row>
    <row r="10" s="209" customFormat="1" ht="38.1" customHeight="1" spans="1:11">
      <c r="A10" s="256" t="str">
        <f>明细!B27</f>
        <v>SCREWS</v>
      </c>
      <c r="B10" s="257" t="str">
        <f>明细!C27</f>
        <v>螺钉</v>
      </c>
      <c r="C10" s="257"/>
      <c r="D10" s="258">
        <f>明细!I27</f>
        <v>12</v>
      </c>
      <c r="E10" s="259" t="str">
        <f>明细!K27</f>
        <v>PCS</v>
      </c>
      <c r="F10" s="260">
        <f>明细!G27</f>
        <v>9.38</v>
      </c>
      <c r="G10" s="260">
        <f>明细!H27</f>
        <v>112.56</v>
      </c>
      <c r="H10" s="209" t="str">
        <f>明细!Q27</f>
        <v>YS325</v>
      </c>
      <c r="K10" s="261"/>
    </row>
    <row r="11" s="209" customFormat="1" ht="38.1" customHeight="1" spans="1:11">
      <c r="A11" s="256" t="str">
        <f>明细!B28</f>
        <v>SCREWS</v>
      </c>
      <c r="B11" s="257" t="str">
        <f>明细!C28</f>
        <v>螺钉</v>
      </c>
      <c r="C11" s="257"/>
      <c r="D11" s="258">
        <f>明细!I28</f>
        <v>12</v>
      </c>
      <c r="E11" s="259" t="str">
        <f>明细!K28</f>
        <v>PCS</v>
      </c>
      <c r="F11" s="260">
        <f>明细!G28</f>
        <v>10.68</v>
      </c>
      <c r="G11" s="260">
        <f>明细!H28</f>
        <v>128.16</v>
      </c>
      <c r="H11" s="209" t="str">
        <f>明细!Q28</f>
        <v>YS327</v>
      </c>
    </row>
    <row r="12" s="209" customFormat="1" ht="38.1" customHeight="1" spans="1:11">
      <c r="A12" s="256" t="str">
        <f>明细!B29</f>
        <v>SCREWS</v>
      </c>
      <c r="B12" s="257" t="str">
        <f>明细!C29</f>
        <v>螺钉</v>
      </c>
      <c r="C12" s="257"/>
      <c r="D12" s="258">
        <f>明细!I29</f>
        <v>36</v>
      </c>
      <c r="E12" s="259" t="str">
        <f>明细!K29</f>
        <v>PCS</v>
      </c>
      <c r="F12" s="260">
        <f>明细!G29</f>
        <v>3.49</v>
      </c>
      <c r="G12" s="260">
        <f>明细!H29</f>
        <v>125.64</v>
      </c>
      <c r="H12" s="209" t="str">
        <f>明细!Q29</f>
        <v>YS328</v>
      </c>
    </row>
    <row r="13" s="209" customFormat="1" ht="38.1" customHeight="1" spans="1:11">
      <c r="A13" s="256" t="str">
        <f>明细!B30</f>
        <v>SCREWS</v>
      </c>
      <c r="B13" s="257" t="str">
        <f>明细!C30</f>
        <v>螺钉</v>
      </c>
      <c r="C13" s="257"/>
      <c r="D13" s="258">
        <f>明细!I30</f>
        <v>36</v>
      </c>
      <c r="E13" s="259" t="str">
        <f>明细!K30</f>
        <v>PCS</v>
      </c>
      <c r="F13" s="260">
        <f>明细!G30</f>
        <v>7.52</v>
      </c>
      <c r="G13" s="260">
        <f>明细!H30</f>
        <v>270.72</v>
      </c>
      <c r="H13" s="209" t="str">
        <f>明细!Q30</f>
        <v>YS329</v>
      </c>
    </row>
    <row r="14" s="209" customFormat="1" ht="38.1" customHeight="1" spans="1:11">
      <c r="A14" s="256" t="str">
        <f>明细!B31</f>
        <v>SCREWS</v>
      </c>
      <c r="B14" s="257" t="str">
        <f>明细!C31</f>
        <v>螺钉</v>
      </c>
      <c r="C14" s="257"/>
      <c r="D14" s="258">
        <f>明细!I31</f>
        <v>8</v>
      </c>
      <c r="E14" s="259" t="str">
        <f>明细!K31</f>
        <v>PCS</v>
      </c>
      <c r="F14" s="260">
        <f>明细!G31</f>
        <v>13.74</v>
      </c>
      <c r="G14" s="260">
        <f>明细!H31</f>
        <v>109.92</v>
      </c>
      <c r="H14" s="209" t="str">
        <f>明细!Q31</f>
        <v>YS145</v>
      </c>
    </row>
    <row r="15" s="209" customFormat="1" ht="38.1" customHeight="1" spans="1:11">
      <c r="A15" s="256" t="str">
        <f>明细!B32</f>
        <v>SCREWS</v>
      </c>
      <c r="B15" s="257" t="str">
        <f>明细!C32</f>
        <v>螺钉</v>
      </c>
      <c r="C15" s="257"/>
      <c r="D15" s="258">
        <f>明细!I32</f>
        <v>12</v>
      </c>
      <c r="E15" s="259" t="str">
        <f>明细!K32</f>
        <v>PCS</v>
      </c>
      <c r="F15" s="260">
        <f>明细!G32</f>
        <v>7.99</v>
      </c>
      <c r="G15" s="260">
        <f>明细!H32</f>
        <v>95.88</v>
      </c>
      <c r="H15" s="209" t="str">
        <f>明细!Q32</f>
        <v>YS161</v>
      </c>
    </row>
    <row r="16" s="209" customFormat="1" ht="38.1" customHeight="1" spans="1:11">
      <c r="A16" s="256" t="str">
        <f>明细!B33</f>
        <v>Railing bracket</v>
      </c>
      <c r="B16" s="257" t="str">
        <f>明细!C33</f>
        <v>栏杆支架</v>
      </c>
      <c r="C16" s="257"/>
      <c r="D16" s="258">
        <f>明细!I33</f>
        <v>3</v>
      </c>
      <c r="E16" s="259" t="str">
        <f>明细!K33</f>
        <v>PCS</v>
      </c>
      <c r="F16" s="260">
        <f>明细!G33</f>
        <v>30.09</v>
      </c>
      <c r="G16" s="260">
        <f>明细!H33</f>
        <v>90.27</v>
      </c>
      <c r="H16" s="209" t="str">
        <f>明细!Q33</f>
        <v>YS382</v>
      </c>
    </row>
    <row r="17" s="209" customFormat="1" ht="38.1" customHeight="1" spans="1:8">
      <c r="A17" s="256" t="str">
        <f>明细!B34</f>
        <v>Railing bracket</v>
      </c>
      <c r="B17" s="257" t="str">
        <f>明细!C34</f>
        <v>栏杆支架</v>
      </c>
      <c r="C17" s="257"/>
      <c r="D17" s="258">
        <f>明细!I34</f>
        <v>12</v>
      </c>
      <c r="E17" s="259" t="str">
        <f>明细!K34</f>
        <v>PCS</v>
      </c>
      <c r="F17" s="260">
        <f>明细!G34</f>
        <v>5.01</v>
      </c>
      <c r="G17" s="260">
        <f>明细!H34</f>
        <v>60.12</v>
      </c>
      <c r="H17" s="209" t="str">
        <f>明细!Q34</f>
        <v>YS125</v>
      </c>
    </row>
    <row r="18" s="209" customFormat="1" ht="38.1" customHeight="1" spans="1:8">
      <c r="A18" s="256" t="str">
        <f>明细!B35</f>
        <v>Railing bracket</v>
      </c>
      <c r="B18" s="257" t="str">
        <f>明细!C35</f>
        <v>栏杆支架</v>
      </c>
      <c r="C18" s="257"/>
      <c r="D18" s="258">
        <f>明细!I35</f>
        <v>6</v>
      </c>
      <c r="E18" s="259" t="str">
        <f>明细!K35</f>
        <v>PCS</v>
      </c>
      <c r="F18" s="260">
        <f>明细!G35</f>
        <v>10.03</v>
      </c>
      <c r="G18" s="260">
        <f>明细!H35</f>
        <v>60.18</v>
      </c>
      <c r="H18" s="209" t="str">
        <f>明细!Q35</f>
        <v>YS124</v>
      </c>
    </row>
    <row r="19" s="209" customFormat="1" ht="38.1" customHeight="1" spans="1:8">
      <c r="A19" s="256" t="str">
        <f>明细!B36</f>
        <v>Railing bracket</v>
      </c>
      <c r="B19" s="257" t="str">
        <f>明细!C36</f>
        <v>栏杆支架</v>
      </c>
      <c r="C19" s="257"/>
      <c r="D19" s="258">
        <f>明细!I36</f>
        <v>4</v>
      </c>
      <c r="E19" s="259" t="str">
        <f>明细!K36</f>
        <v>PCS</v>
      </c>
      <c r="F19" s="260">
        <f>明细!G36</f>
        <v>20.06</v>
      </c>
      <c r="G19" s="260">
        <f>明细!H36</f>
        <v>80.24</v>
      </c>
      <c r="H19" s="209" t="str">
        <f>明细!Q36</f>
        <v>YS381</v>
      </c>
    </row>
    <row r="20" s="235" customFormat="1" ht="27.95" customHeight="1" spans="1:8">
      <c r="A20" s="256" t="str">
        <f>明细!B37</f>
        <v>SCREWS</v>
      </c>
      <c r="B20" s="257" t="str">
        <f>明细!C37</f>
        <v>螺钉</v>
      </c>
      <c r="C20" s="257"/>
      <c r="D20" s="258">
        <f>明细!I37</f>
        <v>12</v>
      </c>
      <c r="E20" s="259" t="str">
        <f>明细!K37</f>
        <v>PCS</v>
      </c>
      <c r="F20" s="260">
        <f>明细!G37</f>
        <v>11.11</v>
      </c>
      <c r="G20" s="260">
        <f>明细!H37</f>
        <v>133.32</v>
      </c>
      <c r="H20" s="209" t="str">
        <f>明细!Q37</f>
        <v>YS356</v>
      </c>
    </row>
    <row r="21" s="235" customFormat="1" ht="27.95" customHeight="1" spans="1:8">
      <c r="A21" s="256" t="str">
        <f>明细!B38</f>
        <v>CONNECTOR BASE</v>
      </c>
      <c r="B21" s="257" t="str">
        <f>明细!C38</f>
        <v>不锈钢连接件底座</v>
      </c>
      <c r="C21" s="257"/>
      <c r="D21" s="258">
        <f>明细!I38</f>
        <v>34</v>
      </c>
      <c r="E21" s="259" t="str">
        <f>明细!K38</f>
        <v>PCS</v>
      </c>
      <c r="F21" s="260">
        <f>明细!G38</f>
        <v>13</v>
      </c>
      <c r="G21" s="260">
        <f>明细!H38</f>
        <v>442</v>
      </c>
      <c r="H21" s="209" t="str">
        <f>明细!Q38</f>
        <v>YS71</v>
      </c>
    </row>
    <row r="22" s="235" customFormat="1" ht="27.95" customHeight="1" spans="1:8">
      <c r="A22" s="256" t="str">
        <f>明细!B39</f>
        <v>CONNECTOR BASE</v>
      </c>
      <c r="B22" s="257" t="str">
        <f>明细!C39</f>
        <v>连接件底座</v>
      </c>
      <c r="C22" s="257"/>
      <c r="D22" s="258">
        <f>明细!I39</f>
        <v>21</v>
      </c>
      <c r="E22" s="259" t="str">
        <f>明细!K39</f>
        <v>PCS</v>
      </c>
      <c r="F22" s="260">
        <f>明细!G39</f>
        <v>16.21</v>
      </c>
      <c r="G22" s="260">
        <f>明细!H39</f>
        <v>340.41</v>
      </c>
      <c r="H22" s="209" t="str">
        <f>明细!Q39</f>
        <v>YS43</v>
      </c>
    </row>
    <row r="23" s="235" customFormat="1" ht="27.95" customHeight="1" spans="1:8">
      <c r="A23" s="256" t="str">
        <f>明细!B40</f>
        <v>CONNECTOR BASE</v>
      </c>
      <c r="B23" s="257" t="str">
        <f>明细!C40</f>
        <v>连接件底座</v>
      </c>
      <c r="C23" s="257"/>
      <c r="D23" s="258">
        <f>明细!I40</f>
        <v>11</v>
      </c>
      <c r="E23" s="259" t="str">
        <f>明细!K40</f>
        <v>PCS</v>
      </c>
      <c r="F23" s="260">
        <f>明细!G40</f>
        <v>32.31</v>
      </c>
      <c r="G23" s="260">
        <f>明细!H40</f>
        <v>355.41</v>
      </c>
      <c r="H23" s="209" t="str">
        <f>明细!Q40</f>
        <v>YS44</v>
      </c>
    </row>
    <row r="24" s="235" customFormat="1" ht="27.95" customHeight="1" spans="1:8">
      <c r="A24" s="256" t="str">
        <f>明细!B41</f>
        <v>CONNECTOR BASE</v>
      </c>
      <c r="B24" s="257" t="str">
        <f>明细!C41</f>
        <v>连接件底座</v>
      </c>
      <c r="C24" s="257"/>
      <c r="D24" s="258">
        <f>明细!I41</f>
        <v>36</v>
      </c>
      <c r="E24" s="259" t="str">
        <f>明细!K41</f>
        <v>PCS</v>
      </c>
      <c r="F24" s="260">
        <f>明细!G41</f>
        <v>3.23</v>
      </c>
      <c r="G24" s="260">
        <f>明细!H41</f>
        <v>116.28</v>
      </c>
      <c r="H24" s="209" t="str">
        <f>明细!Q41</f>
        <v>YS40</v>
      </c>
    </row>
    <row r="25" s="235" customFormat="1" ht="27.95" customHeight="1" spans="1:8">
      <c r="A25" s="256" t="str">
        <f>明细!B42</f>
        <v>CONNECTOR BASE</v>
      </c>
      <c r="B25" s="257" t="str">
        <f>明细!C42</f>
        <v>连接件底座</v>
      </c>
      <c r="C25" s="257"/>
      <c r="D25" s="258">
        <f>明细!I42</f>
        <v>9</v>
      </c>
      <c r="E25" s="259" t="str">
        <f>明细!K42</f>
        <v>PCS</v>
      </c>
      <c r="F25" s="260">
        <f>明细!G42</f>
        <v>4.87</v>
      </c>
      <c r="G25" s="260">
        <f>明细!H42</f>
        <v>43.83</v>
      </c>
      <c r="H25" s="209" t="str">
        <f>明细!Q42</f>
        <v>YS41</v>
      </c>
    </row>
    <row r="26" s="235" customFormat="1" ht="27.95" customHeight="1" spans="1:8">
      <c r="A26" s="256" t="str">
        <f>明细!B43</f>
        <v>CONNECTOR BASE</v>
      </c>
      <c r="B26" s="257" t="str">
        <f>明细!C43</f>
        <v>连接件底座</v>
      </c>
      <c r="C26" s="257"/>
      <c r="D26" s="258">
        <f>明细!I43</f>
        <v>48</v>
      </c>
      <c r="E26" s="259" t="str">
        <f>明细!K43</f>
        <v>PCS</v>
      </c>
      <c r="F26" s="260">
        <f>明细!G43</f>
        <v>6.49</v>
      </c>
      <c r="G26" s="260">
        <f>明细!H43</f>
        <v>311.52</v>
      </c>
      <c r="H26" s="209" t="str">
        <f>明细!Q43</f>
        <v>YS162</v>
      </c>
    </row>
    <row r="27" s="235" customFormat="1" ht="27.95" customHeight="1" spans="1:8">
      <c r="A27" s="256" t="str">
        <f>明细!B44</f>
        <v>CONNECTOR BASE</v>
      </c>
      <c r="B27" s="257" t="str">
        <f>明细!C44</f>
        <v>连接件底座</v>
      </c>
      <c r="C27" s="257"/>
      <c r="D27" s="258">
        <f>明细!I44</f>
        <v>12</v>
      </c>
      <c r="E27" s="259" t="str">
        <f>明细!K44</f>
        <v>PCS</v>
      </c>
      <c r="F27" s="260">
        <f>明细!G44</f>
        <v>8.1</v>
      </c>
      <c r="G27" s="260">
        <f>明细!H44</f>
        <v>97.2</v>
      </c>
      <c r="H27" s="209" t="str">
        <f>明细!Q44</f>
        <v>YS42</v>
      </c>
    </row>
    <row r="28" s="235" customFormat="1" ht="27.95" customHeight="1" spans="1:8">
      <c r="A28" s="256" t="str">
        <f>明细!B45</f>
        <v>CONNECTOR BASE</v>
      </c>
      <c r="B28" s="257" t="str">
        <f>明细!C45</f>
        <v>连接件底座</v>
      </c>
      <c r="C28" s="257"/>
      <c r="D28" s="258">
        <f>明细!I45</f>
        <v>39</v>
      </c>
      <c r="E28" s="259" t="str">
        <f>明细!K45</f>
        <v>PCS</v>
      </c>
      <c r="F28" s="260">
        <f>明细!G45</f>
        <v>14.56</v>
      </c>
      <c r="G28" s="260">
        <f>明细!H45</f>
        <v>567.84</v>
      </c>
      <c r="H28" s="209" t="str">
        <f>明细!Q45</f>
        <v>YS205</v>
      </c>
    </row>
    <row r="29" s="235" customFormat="1" ht="27.95" customHeight="1" spans="1:8">
      <c r="A29" s="256" t="str">
        <f>明细!B46</f>
        <v>CONNECTOR BASE</v>
      </c>
      <c r="B29" s="257" t="str">
        <f>明细!C46</f>
        <v>不锈钢连接件底座</v>
      </c>
      <c r="C29" s="257"/>
      <c r="D29" s="258">
        <f>明细!I46</f>
        <v>24</v>
      </c>
      <c r="E29" s="259" t="str">
        <f>明细!K46</f>
        <v>PCS</v>
      </c>
      <c r="F29" s="260">
        <f>明细!G46</f>
        <v>10.03</v>
      </c>
      <c r="G29" s="260">
        <f>明细!H46</f>
        <v>240.72</v>
      </c>
      <c r="H29" s="209" t="str">
        <f>明细!Q46</f>
        <v>YS73</v>
      </c>
    </row>
    <row r="30" s="235" customFormat="1" ht="27.95" customHeight="1" spans="1:8">
      <c r="A30" s="256" t="str">
        <f>明细!B47</f>
        <v>CONNECTOR BASE</v>
      </c>
      <c r="B30" s="257" t="str">
        <f>明细!C47</f>
        <v>连接件底座</v>
      </c>
      <c r="C30" s="257"/>
      <c r="D30" s="258">
        <f>明细!I47</f>
        <v>14</v>
      </c>
      <c r="E30" s="259" t="str">
        <f>明细!K47</f>
        <v>PCS</v>
      </c>
      <c r="F30" s="260">
        <f>明细!G47</f>
        <v>19.31</v>
      </c>
      <c r="G30" s="260">
        <f>明细!H47</f>
        <v>270.34</v>
      </c>
      <c r="H30" s="209" t="str">
        <f>明细!Q47</f>
        <v>YS163</v>
      </c>
    </row>
    <row r="31" s="235" customFormat="1" ht="27.95" customHeight="1" spans="1:8">
      <c r="A31" s="256" t="str">
        <f>明细!B48</f>
        <v>CONNECTOR BASE</v>
      </c>
      <c r="B31" s="257" t="str">
        <f>明细!C48</f>
        <v>不锈钢连接件底座</v>
      </c>
      <c r="C31" s="257"/>
      <c r="D31" s="258">
        <f>明细!I48</f>
        <v>9</v>
      </c>
      <c r="E31" s="259" t="str">
        <f>明细!K48</f>
        <v>PCS</v>
      </c>
      <c r="F31" s="260">
        <f>明细!G48</f>
        <v>11.16</v>
      </c>
      <c r="G31" s="260">
        <f>明细!H48</f>
        <v>100.44</v>
      </c>
      <c r="H31" s="209" t="str">
        <f>明细!Q48</f>
        <v>YS278</v>
      </c>
    </row>
    <row r="32" s="235" customFormat="1" ht="27.95" customHeight="1" spans="1:8">
      <c r="A32" s="256" t="str">
        <f>明细!B49</f>
        <v>CONNECTOR BASE</v>
      </c>
      <c r="B32" s="257" t="str">
        <f>明细!C49</f>
        <v>不锈钢连接件底座</v>
      </c>
      <c r="C32" s="257"/>
      <c r="D32" s="258">
        <f>明细!I49</f>
        <v>4</v>
      </c>
      <c r="E32" s="259" t="str">
        <f>明细!K49</f>
        <v>PCS</v>
      </c>
      <c r="F32" s="260">
        <f>明细!G49</f>
        <v>21.51</v>
      </c>
      <c r="G32" s="260">
        <f>明细!H49</f>
        <v>86.04</v>
      </c>
      <c r="H32" s="209" t="str">
        <f>明细!Q49</f>
        <v>YS279</v>
      </c>
    </row>
    <row r="33" s="235" customFormat="1" ht="27.95" customHeight="1" spans="1:8">
      <c r="A33" s="256" t="str">
        <f>明细!B50</f>
        <v>CONNECTOR BASE</v>
      </c>
      <c r="B33" s="257" t="str">
        <f>明细!C50</f>
        <v>不锈钢连接件底座</v>
      </c>
      <c r="C33" s="257"/>
      <c r="D33" s="258">
        <f>明细!I50</f>
        <v>3</v>
      </c>
      <c r="E33" s="259" t="str">
        <f>明细!K50</f>
        <v>PCS</v>
      </c>
      <c r="F33" s="260">
        <f>明细!G50</f>
        <v>44.61</v>
      </c>
      <c r="G33" s="260">
        <f>明细!H50</f>
        <v>133.83</v>
      </c>
      <c r="H33" s="209" t="str">
        <f>明细!Q50</f>
        <v>YS280</v>
      </c>
    </row>
    <row r="34" s="235" customFormat="1" ht="27.95" customHeight="1" spans="1:8">
      <c r="A34" s="256" t="str">
        <f>明细!B51</f>
        <v>SCREWS</v>
      </c>
      <c r="B34" s="257" t="str">
        <f>明细!C51</f>
        <v>螺钉</v>
      </c>
      <c r="C34" s="257"/>
      <c r="D34" s="258">
        <f>明细!I51</f>
        <v>8</v>
      </c>
      <c r="E34" s="259" t="str">
        <f>明细!K51</f>
        <v>PCS</v>
      </c>
      <c r="F34" s="260">
        <f>明细!G51</f>
        <v>22.1</v>
      </c>
      <c r="G34" s="260">
        <f>明细!H51</f>
        <v>176.8</v>
      </c>
      <c r="H34" s="209" t="str">
        <f>明细!Q51</f>
        <v>YS545</v>
      </c>
    </row>
    <row r="35" s="235" customFormat="1" ht="27.95" customHeight="1" spans="1:8">
      <c r="A35" s="256" t="str">
        <f>明细!B52</f>
        <v>SCREWS</v>
      </c>
      <c r="B35" s="257" t="str">
        <f>明细!C52</f>
        <v>螺钉</v>
      </c>
      <c r="C35" s="257"/>
      <c r="D35" s="258">
        <f>明细!I52</f>
        <v>12</v>
      </c>
      <c r="E35" s="259" t="str">
        <f>明细!K52</f>
        <v>PCS</v>
      </c>
      <c r="F35" s="260">
        <f>明细!G52</f>
        <v>9.56</v>
      </c>
      <c r="G35" s="260">
        <f>明细!H52</f>
        <v>114.72</v>
      </c>
      <c r="H35" s="209" t="str">
        <f>明细!Q52</f>
        <v>YS317</v>
      </c>
    </row>
    <row r="36" s="235" customFormat="1" ht="27.95" customHeight="1" spans="1:8">
      <c r="A36" s="256" t="str">
        <f>明细!B53</f>
        <v>SCREWS</v>
      </c>
      <c r="B36" s="257" t="str">
        <f>明细!C53</f>
        <v>螺钉</v>
      </c>
      <c r="C36" s="257"/>
      <c r="D36" s="258">
        <f>明细!I53</f>
        <v>32</v>
      </c>
      <c r="E36" s="259" t="str">
        <f>明细!K53</f>
        <v>PCS</v>
      </c>
      <c r="F36" s="260">
        <f>明细!G53</f>
        <v>4.79</v>
      </c>
      <c r="G36" s="260">
        <f>明细!H53</f>
        <v>153.28</v>
      </c>
      <c r="H36" s="209" t="str">
        <f>明细!Q53</f>
        <v>YS316</v>
      </c>
    </row>
    <row r="37" s="235" customFormat="1" ht="27.95" customHeight="1" spans="1:8">
      <c r="A37" s="256" t="str">
        <f>明细!B54</f>
        <v>SCREWS</v>
      </c>
      <c r="B37" s="257" t="str">
        <f>明细!C54</f>
        <v>螺钉</v>
      </c>
      <c r="C37" s="257"/>
      <c r="D37" s="258">
        <f>明细!I54</f>
        <v>16</v>
      </c>
      <c r="E37" s="259" t="str">
        <f>明细!K54</f>
        <v>PCS</v>
      </c>
      <c r="F37" s="260">
        <f>明细!G54</f>
        <v>4.79</v>
      </c>
      <c r="G37" s="260">
        <f>明细!H54</f>
        <v>76.64</v>
      </c>
      <c r="H37" s="209" t="str">
        <f>明细!Q54</f>
        <v>YS384</v>
      </c>
    </row>
    <row r="38" s="235" customFormat="1" ht="27.95" customHeight="1" spans="1:8">
      <c r="A38" s="256" t="str">
        <f>明细!B55</f>
        <v>SCREWS</v>
      </c>
      <c r="B38" s="257" t="str">
        <f>明细!C55</f>
        <v>螺钉</v>
      </c>
      <c r="C38" s="257"/>
      <c r="D38" s="258">
        <f>明细!I55</f>
        <v>12</v>
      </c>
      <c r="E38" s="259" t="str">
        <f>明细!K55</f>
        <v>PCS</v>
      </c>
      <c r="F38" s="260">
        <f>明细!G55</f>
        <v>12.81</v>
      </c>
      <c r="G38" s="260">
        <f>明细!H55</f>
        <v>153.72</v>
      </c>
      <c r="H38" s="209" t="str">
        <f>明细!Q55</f>
        <v>YS361</v>
      </c>
    </row>
    <row r="39" s="235" customFormat="1" ht="27.95" customHeight="1" spans="1:8">
      <c r="A39" s="256" t="str">
        <f>明细!B56</f>
        <v>SCREWS</v>
      </c>
      <c r="B39" s="257" t="str">
        <f>明细!C56</f>
        <v>螺钉</v>
      </c>
      <c r="C39" s="257"/>
      <c r="D39" s="258">
        <f>明细!I56</f>
        <v>4</v>
      </c>
      <c r="E39" s="259" t="str">
        <f>明细!K56</f>
        <v>PCS</v>
      </c>
      <c r="F39" s="260">
        <f>明细!G56</f>
        <v>38.07</v>
      </c>
      <c r="G39" s="260">
        <f>明细!H56</f>
        <v>152.28</v>
      </c>
      <c r="H39" s="209" t="str">
        <f>明细!Q56</f>
        <v>YS320</v>
      </c>
    </row>
    <row r="40" s="235" customFormat="1" ht="27.95" customHeight="1" spans="1:8">
      <c r="A40" s="256" t="str">
        <f>明细!B57</f>
        <v>SCREWS</v>
      </c>
      <c r="B40" s="257" t="str">
        <f>明细!C57</f>
        <v>螺钉</v>
      </c>
      <c r="C40" s="257"/>
      <c r="D40" s="258">
        <f>明细!I57</f>
        <v>24</v>
      </c>
      <c r="E40" s="259" t="str">
        <f>明细!K57</f>
        <v>PCS</v>
      </c>
      <c r="F40" s="260">
        <f>明细!G57</f>
        <v>6.41</v>
      </c>
      <c r="G40" s="260">
        <f>明细!H57</f>
        <v>153.84</v>
      </c>
      <c r="H40" s="209" t="str">
        <f>明细!Q57</f>
        <v>YS319</v>
      </c>
    </row>
    <row r="41" s="235" customFormat="1" ht="27.95" customHeight="1" spans="1:8">
      <c r="A41" s="256" t="str">
        <f>明细!B58</f>
        <v>SCREWS</v>
      </c>
      <c r="B41" s="257" t="str">
        <f>明细!C58</f>
        <v>螺钉</v>
      </c>
      <c r="C41" s="257"/>
      <c r="D41" s="258">
        <f>明细!I58</f>
        <v>6</v>
      </c>
      <c r="E41" s="259" t="str">
        <f>明细!K58</f>
        <v>PCS</v>
      </c>
      <c r="F41" s="260">
        <f>明细!G58</f>
        <v>16.53</v>
      </c>
      <c r="G41" s="260">
        <f>明细!H58</f>
        <v>99.18</v>
      </c>
      <c r="H41" s="209" t="str">
        <f>明细!Q58</f>
        <v>YS544</v>
      </c>
    </row>
    <row r="42" s="235" customFormat="1" ht="27.95" customHeight="1" spans="1:8">
      <c r="A42" s="256" t="str">
        <f>明细!B59</f>
        <v>SCREWS</v>
      </c>
      <c r="B42" s="257" t="str">
        <f>明细!C59</f>
        <v>螺钉</v>
      </c>
      <c r="C42" s="257"/>
      <c r="D42" s="258">
        <f>明细!I59</f>
        <v>4</v>
      </c>
      <c r="E42" s="259" t="str">
        <f>明细!K59</f>
        <v>PCS</v>
      </c>
      <c r="F42" s="260">
        <f>明细!G59</f>
        <v>26.46</v>
      </c>
      <c r="G42" s="260">
        <f>明细!H59</f>
        <v>105.84</v>
      </c>
      <c r="H42" s="209" t="str">
        <f>明细!Q59</f>
        <v>YS181</v>
      </c>
    </row>
    <row r="43" s="235" customFormat="1" ht="27.95" customHeight="1" spans="1:8">
      <c r="A43" s="256" t="str">
        <f>明细!B60</f>
        <v>SCREWS</v>
      </c>
      <c r="B43" s="257" t="str">
        <f>明细!C60</f>
        <v>螺钉</v>
      </c>
      <c r="C43" s="257"/>
      <c r="D43" s="258">
        <f>明细!I60</f>
        <v>2</v>
      </c>
      <c r="E43" s="259" t="str">
        <f>明细!K60</f>
        <v>PCS</v>
      </c>
      <c r="F43" s="260">
        <f>明细!G60</f>
        <v>25.63</v>
      </c>
      <c r="G43" s="260">
        <f>明细!H60</f>
        <v>51.26</v>
      </c>
      <c r="H43" s="209" t="str">
        <f>明细!Q60</f>
        <v>YS524</v>
      </c>
    </row>
    <row r="44" s="235" customFormat="1" ht="27.95" customHeight="1" spans="1:8">
      <c r="A44" s="256" t="str">
        <f>明细!B61</f>
        <v>SCREWS</v>
      </c>
      <c r="B44" s="257" t="str">
        <f>明细!C61</f>
        <v>螺钉</v>
      </c>
      <c r="C44" s="257"/>
      <c r="D44" s="258">
        <f>明细!I61</f>
        <v>8</v>
      </c>
      <c r="E44" s="259" t="str">
        <f>明细!K61</f>
        <v>PCS</v>
      </c>
      <c r="F44" s="260">
        <f>明细!G61</f>
        <v>9.01</v>
      </c>
      <c r="G44" s="260">
        <f>明细!H61</f>
        <v>72.08</v>
      </c>
      <c r="H44" s="209" t="str">
        <f>明细!Q61</f>
        <v>YS523</v>
      </c>
    </row>
    <row r="45" s="235" customFormat="1" ht="27.95" customHeight="1" spans="1:8">
      <c r="A45" s="256" t="str">
        <f>明细!B62</f>
        <v>SCREWS</v>
      </c>
      <c r="B45" s="257" t="str">
        <f>明细!C62</f>
        <v>螺钉</v>
      </c>
      <c r="C45" s="257"/>
      <c r="D45" s="258">
        <f>明细!I62</f>
        <v>16</v>
      </c>
      <c r="E45" s="259" t="str">
        <f>明细!K62</f>
        <v>PCS</v>
      </c>
      <c r="F45" s="260">
        <f>明细!G62</f>
        <v>3.58</v>
      </c>
      <c r="G45" s="260">
        <f>明细!H62</f>
        <v>57.28</v>
      </c>
      <c r="H45" s="209" t="str">
        <f>明细!Q62</f>
        <v>YS331</v>
      </c>
    </row>
    <row r="46" s="235" customFormat="1" ht="27.95" customHeight="1" spans="1:8">
      <c r="A46" s="256" t="str">
        <f>明细!B63</f>
        <v>SCREWS</v>
      </c>
      <c r="B46" s="257" t="str">
        <f>明细!C63</f>
        <v>螺钉</v>
      </c>
      <c r="C46" s="257"/>
      <c r="D46" s="258">
        <f>明细!I63</f>
        <v>12</v>
      </c>
      <c r="E46" s="259" t="str">
        <f>明细!K63</f>
        <v>PCS</v>
      </c>
      <c r="F46" s="260">
        <f>明细!G63</f>
        <v>5.29</v>
      </c>
      <c r="G46" s="260">
        <f>明细!H63</f>
        <v>63.48</v>
      </c>
      <c r="H46" s="209" t="str">
        <f>明细!Q63</f>
        <v>YS340</v>
      </c>
    </row>
    <row r="47" s="235" customFormat="1" ht="27.95" customHeight="1" spans="1:8">
      <c r="A47" s="256" t="str">
        <f>明细!B64</f>
        <v>SCREWS</v>
      </c>
      <c r="B47" s="257" t="str">
        <f>明细!C64</f>
        <v>螺钉</v>
      </c>
      <c r="C47" s="257"/>
      <c r="D47" s="258">
        <f>明细!I64</f>
        <v>18</v>
      </c>
      <c r="E47" s="259" t="str">
        <f>明细!K64</f>
        <v>PCS</v>
      </c>
      <c r="F47" s="260">
        <f>明细!G64</f>
        <v>16.02</v>
      </c>
      <c r="G47" s="260">
        <f>明细!H64</f>
        <v>288.36</v>
      </c>
      <c r="H47" s="209" t="str">
        <f>明细!Q64</f>
        <v>YS313</v>
      </c>
    </row>
    <row r="48" s="235" customFormat="1" ht="27.95" customHeight="1" spans="1:8">
      <c r="A48" s="256" t="str">
        <f>明细!B65</f>
        <v>SCREWS</v>
      </c>
      <c r="B48" s="257" t="str">
        <f>明细!C65</f>
        <v>螺钉</v>
      </c>
      <c r="C48" s="257"/>
      <c r="D48" s="258">
        <f>明细!I65</f>
        <v>8</v>
      </c>
      <c r="E48" s="259" t="str">
        <f>明细!K65</f>
        <v>PCS</v>
      </c>
      <c r="F48" s="260">
        <f>明细!G65</f>
        <v>12.87</v>
      </c>
      <c r="G48" s="260">
        <f>明细!H65</f>
        <v>102.96</v>
      </c>
      <c r="H48" s="209" t="str">
        <f>明细!Q65</f>
        <v>YS252</v>
      </c>
    </row>
    <row r="49" s="235" customFormat="1" ht="27.95" customHeight="1" spans="1:8">
      <c r="A49" s="256" t="str">
        <f>明细!B66</f>
        <v>SCREWS</v>
      </c>
      <c r="B49" s="257" t="str">
        <f>明细!C66</f>
        <v>螺钉</v>
      </c>
      <c r="C49" s="257"/>
      <c r="D49" s="258">
        <f>明细!I66</f>
        <v>12</v>
      </c>
      <c r="E49" s="259" t="str">
        <f>明细!K66</f>
        <v>PCS</v>
      </c>
      <c r="F49" s="260">
        <f>明细!G66</f>
        <v>17.05</v>
      </c>
      <c r="G49" s="260">
        <f>明细!H66</f>
        <v>204.6</v>
      </c>
      <c r="H49" s="209" t="str">
        <f>明细!Q66</f>
        <v>YS251</v>
      </c>
    </row>
    <row r="50" s="235" customFormat="1" ht="27.95" customHeight="1" spans="1:8">
      <c r="A50" s="256" t="str">
        <f>明细!B67</f>
        <v>SCREWS</v>
      </c>
      <c r="B50" s="257" t="str">
        <f>明细!C67</f>
        <v>螺钉</v>
      </c>
      <c r="C50" s="257"/>
      <c r="D50" s="258">
        <f>明细!I67</f>
        <v>10</v>
      </c>
      <c r="E50" s="259" t="str">
        <f>明细!K67</f>
        <v>PCS</v>
      </c>
      <c r="F50" s="260">
        <f>明细!G67</f>
        <v>19.61</v>
      </c>
      <c r="G50" s="260">
        <f>明细!H67</f>
        <v>196.1</v>
      </c>
      <c r="H50" s="209" t="str">
        <f>明细!Q67</f>
        <v>YS678</v>
      </c>
    </row>
    <row r="51" s="235" customFormat="1" ht="27.95" customHeight="1" spans="1:8">
      <c r="A51" s="256" t="str">
        <f>明细!B68</f>
        <v>SCREWS</v>
      </c>
      <c r="B51" s="257" t="str">
        <f>明细!C68</f>
        <v>螺钉</v>
      </c>
      <c r="C51" s="257"/>
      <c r="D51" s="258">
        <f>明细!I68</f>
        <v>36</v>
      </c>
      <c r="E51" s="259" t="str">
        <f>明细!K68</f>
        <v>PCS</v>
      </c>
      <c r="F51" s="260">
        <f>明细!G68</f>
        <v>6.41</v>
      </c>
      <c r="G51" s="260">
        <f>明细!H68</f>
        <v>230.76</v>
      </c>
      <c r="H51" s="209" t="str">
        <f>明细!Q68</f>
        <v>YS108</v>
      </c>
    </row>
    <row r="52" s="235" customFormat="1" ht="27.95" customHeight="1" spans="1:8">
      <c r="A52" s="256" t="str">
        <f>明细!B69</f>
        <v>SCREWS</v>
      </c>
      <c r="B52" s="257" t="str">
        <f>明细!C69</f>
        <v>螺钉</v>
      </c>
      <c r="C52" s="257"/>
      <c r="D52" s="258">
        <f>明细!I69</f>
        <v>30</v>
      </c>
      <c r="E52" s="259" t="str">
        <f>明细!K69</f>
        <v>PCS</v>
      </c>
      <c r="F52" s="260">
        <f>明细!G69</f>
        <v>1.86</v>
      </c>
      <c r="G52" s="260">
        <f>明细!H69</f>
        <v>55.8</v>
      </c>
      <c r="H52" s="209" t="str">
        <f>明细!Q69</f>
        <v>YS157</v>
      </c>
    </row>
    <row r="53" s="235" customFormat="1" ht="27.95" customHeight="1" spans="1:8">
      <c r="A53" s="256" t="str">
        <f>明细!B70</f>
        <v>SCREWS</v>
      </c>
      <c r="B53" s="257" t="str">
        <f>明细!C70</f>
        <v>螺钉</v>
      </c>
      <c r="C53" s="257"/>
      <c r="D53" s="258">
        <f>明细!I70</f>
        <v>10</v>
      </c>
      <c r="E53" s="259" t="str">
        <f>明细!K70</f>
        <v>PCS</v>
      </c>
      <c r="F53" s="260">
        <f>明细!G70</f>
        <v>32.69</v>
      </c>
      <c r="G53" s="260">
        <f>明细!H70</f>
        <v>326.9</v>
      </c>
      <c r="H53" s="209" t="str">
        <f>明细!Q70</f>
        <v>YS49</v>
      </c>
    </row>
    <row r="54" s="235" customFormat="1" ht="27.95" customHeight="1" spans="1:8">
      <c r="A54" s="256" t="str">
        <f>明细!B71</f>
        <v>SCREWS</v>
      </c>
      <c r="B54" s="257" t="str">
        <f>明细!C71</f>
        <v>螺钉</v>
      </c>
      <c r="C54" s="257"/>
      <c r="D54" s="258">
        <f>明细!I71</f>
        <v>208</v>
      </c>
      <c r="E54" s="259" t="str">
        <f>明细!K71</f>
        <v>PCS</v>
      </c>
      <c r="F54" s="260">
        <f>明细!G71</f>
        <v>3.27</v>
      </c>
      <c r="G54" s="260">
        <f>明细!H71</f>
        <v>680.16</v>
      </c>
      <c r="H54" s="209" t="str">
        <f>明细!Q71</f>
        <v>YS48</v>
      </c>
    </row>
    <row r="55" s="235" customFormat="1" ht="27.95" customHeight="1" spans="1:8">
      <c r="A55" s="256" t="str">
        <f>明细!B72</f>
        <v>SCREWS</v>
      </c>
      <c r="B55" s="257" t="str">
        <f>明细!C72</f>
        <v>螺钉</v>
      </c>
      <c r="C55" s="257"/>
      <c r="D55" s="258">
        <f>明细!I72</f>
        <v>12</v>
      </c>
      <c r="E55" s="259" t="str">
        <f>明细!K72</f>
        <v>PCS</v>
      </c>
      <c r="F55" s="260">
        <f>明细!G72</f>
        <v>24.51</v>
      </c>
      <c r="G55" s="260">
        <f>明细!H72</f>
        <v>294.12</v>
      </c>
      <c r="H55" s="209" t="str">
        <f>明细!Q72</f>
        <v>YS679</v>
      </c>
    </row>
    <row r="56" s="235" customFormat="1" ht="27.95" customHeight="1" spans="1:8">
      <c r="A56" s="256" t="str">
        <f>明细!B73</f>
        <v>SCREWS</v>
      </c>
      <c r="B56" s="257" t="str">
        <f>明细!C73</f>
        <v>螺钉</v>
      </c>
      <c r="C56" s="257"/>
      <c r="D56" s="258">
        <f>明细!I73</f>
        <v>24</v>
      </c>
      <c r="E56" s="259" t="str">
        <f>明细!K73</f>
        <v>PCS</v>
      </c>
      <c r="F56" s="260">
        <f>明细!G73</f>
        <v>8.41</v>
      </c>
      <c r="G56" s="260">
        <f>明细!H73</f>
        <v>201.84</v>
      </c>
      <c r="H56" s="209" t="str">
        <f>明细!Q73</f>
        <v>YS107</v>
      </c>
    </row>
    <row r="57" s="235" customFormat="1" ht="27.95" customHeight="1" spans="1:8">
      <c r="A57" s="256" t="str">
        <f>明细!B74</f>
        <v>SCREWS</v>
      </c>
      <c r="B57" s="257" t="str">
        <f>明细!C74</f>
        <v>螺钉</v>
      </c>
      <c r="C57" s="257"/>
      <c r="D57" s="258">
        <f>明细!I74</f>
        <v>18</v>
      </c>
      <c r="E57" s="259" t="str">
        <f>明细!K74</f>
        <v>PCS</v>
      </c>
      <c r="F57" s="260">
        <f>明细!G74</f>
        <v>21.45</v>
      </c>
      <c r="G57" s="260">
        <f>明细!H74</f>
        <v>386.1</v>
      </c>
      <c r="H57" s="209" t="str">
        <f>明细!Q74</f>
        <v>YS51</v>
      </c>
    </row>
    <row r="58" s="235" customFormat="1" ht="27.95" customHeight="1" spans="1:8">
      <c r="A58" s="256" t="str">
        <f>明细!B75</f>
        <v>SCREWS</v>
      </c>
      <c r="B58" s="257" t="str">
        <f>明细!C75</f>
        <v>螺钉</v>
      </c>
      <c r="C58" s="257"/>
      <c r="D58" s="258">
        <f>明细!I75</f>
        <v>96</v>
      </c>
      <c r="E58" s="259" t="str">
        <f>明细!K75</f>
        <v>PCS</v>
      </c>
      <c r="F58" s="260">
        <f>明细!G75</f>
        <v>4.29</v>
      </c>
      <c r="G58" s="260">
        <f>明细!H75</f>
        <v>411.84</v>
      </c>
      <c r="H58" s="209" t="str">
        <f>明细!Q75</f>
        <v>YS50</v>
      </c>
    </row>
    <row r="59" s="235" customFormat="1" ht="27.95" customHeight="1" spans="1:8">
      <c r="A59" s="262" t="s">
        <v>136</v>
      </c>
      <c r="B59" s="263"/>
      <c r="C59" s="263"/>
      <c r="D59" s="264">
        <f>SUM(D9:D58)</f>
        <v>1071</v>
      </c>
      <c r="E59" s="263"/>
      <c r="F59" s="263"/>
      <c r="G59" s="265">
        <f>SUM(G9:G58)</f>
        <v>9282.33</v>
      </c>
    </row>
    <row r="60" s="235" customFormat="1" ht="27.95" customHeight="1" spans="1:8">
      <c r="A60" s="266"/>
      <c r="B60" s="266"/>
      <c r="C60" s="266"/>
      <c r="D60" s="266"/>
      <c r="E60" s="266"/>
      <c r="F60" s="267"/>
      <c r="G60" s="268"/>
    </row>
    <row r="61" s="235" customFormat="1" ht="27.95" customHeight="1" spans="1:8">
      <c r="A61" s="269"/>
      <c r="B61" s="270"/>
      <c r="C61" s="271"/>
      <c r="D61" s="272"/>
      <c r="E61" s="271"/>
      <c r="F61" s="271"/>
      <c r="G61" s="273"/>
    </row>
    <row r="62" s="235" customFormat="1" ht="22.5" customHeight="1" spans="1:8">
      <c r="A62" s="274"/>
      <c r="D62" s="275"/>
      <c r="E62" s="275"/>
      <c r="F62" s="276"/>
      <c r="G62" s="276"/>
    </row>
    <row r="63" s="235" customFormat="1" ht="21.75" customHeight="1" spans="1:8">
      <c r="A63" s="269"/>
      <c r="B63" s="277"/>
      <c r="C63" s="277"/>
      <c r="D63" s="274"/>
      <c r="E63" s="274"/>
      <c r="F63" s="276"/>
      <c r="G63" s="276"/>
    </row>
    <row r="64" s="209" customFormat="1" ht="24.75" customHeight="1" spans="1:8">
      <c r="A64" s="278"/>
      <c r="B64" s="277"/>
      <c r="C64" s="277"/>
      <c r="D64" s="274"/>
      <c r="E64" s="274"/>
      <c r="F64" s="279"/>
      <c r="G64" s="279"/>
    </row>
    <row r="65" s="209" customFormat="1" ht="27.75" customHeight="1" spans="1:7">
      <c r="A65" s="278"/>
      <c r="G65" s="279"/>
    </row>
    <row r="66" s="236" customFormat="1" ht="21.75" customHeight="1" spans="1:7">
      <c r="A66" s="278"/>
      <c r="B66" s="280"/>
      <c r="C66" s="280"/>
      <c r="D66" s="280"/>
      <c r="E66" s="280"/>
      <c r="F66" s="280"/>
      <c r="G66" s="280"/>
    </row>
    <row r="67" s="236" customFormat="1" ht="21.75" customHeight="1" spans="1:7">
      <c r="A67" s="280"/>
      <c r="B67" s="280"/>
      <c r="C67" s="280"/>
      <c r="D67" s="280"/>
      <c r="E67" s="280"/>
    </row>
    <row r="68" s="236" customFormat="1" ht="21.75" customHeight="1" spans="1:7">
      <c r="A68" s="280"/>
      <c r="B68" s="280"/>
      <c r="C68" s="280"/>
      <c r="F68" s="280"/>
      <c r="G68" s="280"/>
    </row>
    <row r="70" spans="1:7">
      <c r="D70" s="281"/>
      <c r="E70" s="281"/>
    </row>
  </sheetData>
  <mergeCells count="56">
    <mergeCell ref="A1:G1"/>
    <mergeCell ref="A2:G2"/>
    <mergeCell ref="A3:G3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0:E60"/>
  </mergeCells>
  <printOptions horizontalCentered="1"/>
  <pageMargins left="0.16875" right="0.388888888888889" top="0.488888888888889" bottom="0.679166666666667" header="0.309027777777778" footer="0.5"/>
  <pageSetup paperSize="9" scale="72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4"/>
  <sheetViews>
    <sheetView workbookViewId="0">
      <selection activeCell="I20" sqref="I20"/>
    </sheetView>
  </sheetViews>
  <sheetFormatPr defaultColWidth="9" defaultRowHeight="13.5"/>
  <cols>
    <col min="1" max="1" width="9.125" style="173" customWidth="1"/>
    <col min="2" max="2" width="14.75" style="173" customWidth="1"/>
    <col min="3" max="3" width="12.875" style="173" customWidth="1"/>
    <col min="4" max="4" width="12.625" style="173" customWidth="1"/>
    <col min="5" max="5" width="9.625" style="173" customWidth="1"/>
    <col min="6" max="6" width="13.25" style="173" customWidth="1"/>
    <col min="7" max="7" width="8.875" style="173" customWidth="1"/>
    <col min="8" max="8" width="19.625" style="173" customWidth="1"/>
    <col min="9" max="16384" width="9" style="173"/>
  </cols>
  <sheetData>
    <row r="1" ht="9.95" customHeight="1" spans="1:8">
      <c r="A1" s="174"/>
      <c r="B1" s="174"/>
      <c r="C1" s="174"/>
      <c r="D1" s="174"/>
      <c r="E1" s="174"/>
      <c r="F1" s="174"/>
      <c r="G1" s="175" t="s">
        <v>137</v>
      </c>
      <c r="H1" s="176" t="str">
        <f>明细!G9</f>
        <v>HY26011821-1</v>
      </c>
    </row>
    <row r="2" ht="14.1" customHeight="1" spans="1:8">
      <c r="A2" s="177" t="s">
        <v>138</v>
      </c>
      <c r="B2" s="178" t="s">
        <v>139</v>
      </c>
      <c r="C2" s="178"/>
      <c r="D2" s="178"/>
      <c r="E2" s="174"/>
      <c r="F2" s="174"/>
      <c r="G2" s="179"/>
      <c r="H2" s="180"/>
    </row>
    <row r="3" ht="9.95" customHeight="1" spans="1:8">
      <c r="A3" s="177"/>
      <c r="B3" s="178"/>
      <c r="C3" s="178"/>
      <c r="D3" s="178"/>
      <c r="E3" s="174"/>
      <c r="F3" s="174"/>
      <c r="G3" s="181" t="s">
        <v>140</v>
      </c>
      <c r="H3" s="182">
        <f>明细!G22</f>
        <v>46048</v>
      </c>
    </row>
    <row r="4" ht="14.1" customHeight="1" spans="1:8">
      <c r="A4" s="183"/>
      <c r="B4" s="184" t="s">
        <v>141</v>
      </c>
      <c r="C4" s="184"/>
      <c r="D4" s="184"/>
      <c r="E4" s="174"/>
      <c r="F4" s="174"/>
      <c r="G4" s="185"/>
      <c r="H4" s="186"/>
    </row>
    <row r="5" ht="9.95" customHeight="1" spans="1:8">
      <c r="A5" s="174"/>
      <c r="B5" s="174"/>
      <c r="C5" s="174"/>
      <c r="D5" s="174"/>
      <c r="E5" s="174"/>
      <c r="F5" s="174"/>
      <c r="G5" s="181" t="s">
        <v>142</v>
      </c>
      <c r="H5" s="187">
        <f>明细!G18</f>
        <v>0</v>
      </c>
    </row>
    <row r="6" ht="14.1" customHeight="1" spans="1:8">
      <c r="A6" s="174"/>
      <c r="B6" s="174"/>
      <c r="C6" s="174"/>
      <c r="D6" s="174"/>
      <c r="E6" s="174"/>
      <c r="F6" s="174"/>
      <c r="G6" s="185"/>
      <c r="H6" s="188"/>
    </row>
    <row r="7" ht="9.95" customHeight="1" spans="1:8">
      <c r="A7" s="181" t="s">
        <v>143</v>
      </c>
      <c r="B7" s="189" t="str">
        <f>明细!A7</f>
        <v>Amazon.com Services, Inc.
</v>
      </c>
      <c r="C7" s="189"/>
      <c r="D7" s="189"/>
      <c r="E7" s="189"/>
      <c r="F7" s="189"/>
      <c r="G7" s="181" t="s">
        <v>144</v>
      </c>
      <c r="H7" s="187"/>
    </row>
    <row r="8" ht="14.1" customHeight="1" spans="1:8">
      <c r="A8" s="185"/>
      <c r="B8" s="190"/>
      <c r="C8" s="190"/>
      <c r="D8" s="190"/>
      <c r="E8" s="190"/>
      <c r="F8" s="190"/>
      <c r="G8" s="185"/>
      <c r="H8" s="188"/>
    </row>
    <row r="9" ht="9.95" customHeight="1" spans="1:8">
      <c r="A9" s="181" t="s">
        <v>145</v>
      </c>
      <c r="B9" s="191">
        <f>明细!A8</f>
        <v>0</v>
      </c>
      <c r="C9" s="191"/>
      <c r="D9" s="191"/>
      <c r="E9" s="191"/>
      <c r="F9" s="191"/>
      <c r="G9" s="181" t="s">
        <v>146</v>
      </c>
      <c r="H9" s="192"/>
    </row>
    <row r="10" ht="14.1" customHeight="1" spans="1:8">
      <c r="A10" s="185"/>
      <c r="B10" s="190"/>
      <c r="C10" s="190"/>
      <c r="D10" s="190"/>
      <c r="E10" s="190"/>
      <c r="F10" s="190"/>
      <c r="G10" s="185"/>
      <c r="H10" s="193"/>
    </row>
    <row r="11" ht="9.95" customHeight="1" spans="1:8">
      <c r="A11" s="181" t="s">
        <v>147</v>
      </c>
      <c r="B11" s="191">
        <f>明细!A2</f>
        <v>0</v>
      </c>
      <c r="C11" s="191"/>
      <c r="D11" s="191"/>
      <c r="E11" s="191"/>
      <c r="F11" s="191"/>
      <c r="G11" s="194" t="s">
        <v>148</v>
      </c>
      <c r="H11" s="187"/>
    </row>
    <row r="12" ht="14.1" customHeight="1" spans="1:8">
      <c r="A12" s="185"/>
      <c r="B12" s="190"/>
      <c r="C12" s="190"/>
      <c r="D12" s="190"/>
      <c r="E12" s="190"/>
      <c r="F12" s="190"/>
      <c r="G12" s="189"/>
      <c r="H12" s="188"/>
    </row>
    <row r="13" ht="9.95" customHeight="1" spans="1:8">
      <c r="A13" s="181" t="s">
        <v>149</v>
      </c>
      <c r="B13" s="191" t="str">
        <f>明细!A3</f>
        <v>上海福洺电子商务有限公司</v>
      </c>
      <c r="C13" s="191"/>
      <c r="D13" s="191"/>
      <c r="E13" s="191"/>
      <c r="F13" s="191"/>
      <c r="G13" s="194" t="s">
        <v>150</v>
      </c>
      <c r="H13" s="192"/>
    </row>
    <row r="14" ht="14.1" customHeight="1" spans="1:8">
      <c r="A14" s="185"/>
      <c r="B14" s="190"/>
      <c r="C14" s="190"/>
      <c r="D14" s="190"/>
      <c r="E14" s="190"/>
      <c r="F14" s="190"/>
      <c r="G14" s="189"/>
      <c r="H14" s="193"/>
    </row>
    <row r="15" ht="17" customHeight="1" spans="1:8">
      <c r="A15" s="172" t="s">
        <v>151</v>
      </c>
      <c r="B15" s="172"/>
      <c r="C15" s="172"/>
      <c r="D15" s="172"/>
      <c r="E15" s="172"/>
      <c r="F15" s="172"/>
      <c r="G15" s="172"/>
      <c r="H15" s="172"/>
    </row>
    <row r="16" ht="18" customHeight="1" spans="1:8">
      <c r="A16" s="195" t="s">
        <v>152</v>
      </c>
      <c r="B16" s="195"/>
      <c r="C16" s="195"/>
      <c r="D16" s="195"/>
      <c r="E16" s="195"/>
      <c r="F16" s="195"/>
      <c r="G16" s="195"/>
      <c r="H16" s="195"/>
    </row>
    <row r="17" ht="18" customHeight="1" spans="1:9">
      <c r="A17" s="195"/>
      <c r="B17" s="195"/>
      <c r="C17" s="195"/>
      <c r="D17" s="195"/>
      <c r="E17" s="195"/>
      <c r="F17" s="195"/>
      <c r="G17" s="195"/>
      <c r="H17" s="195"/>
    </row>
    <row r="18" ht="12" customHeight="1" spans="1:9">
      <c r="A18" s="196" t="s">
        <v>153</v>
      </c>
      <c r="B18" s="197"/>
      <c r="C18" s="197"/>
      <c r="D18" s="197"/>
      <c r="E18" s="196" t="s">
        <v>154</v>
      </c>
      <c r="F18" s="196" t="s">
        <v>45</v>
      </c>
      <c r="G18" s="196" t="s">
        <v>28</v>
      </c>
      <c r="H18" s="198" t="s">
        <v>155</v>
      </c>
    </row>
    <row r="19" ht="12" customHeight="1" spans="1:9">
      <c r="A19" s="199" t="s">
        <v>156</v>
      </c>
      <c r="B19" s="200"/>
      <c r="C19" s="200"/>
      <c r="D19" s="200"/>
      <c r="E19" s="201" t="s">
        <v>157</v>
      </c>
      <c r="F19" s="201" t="s">
        <v>158</v>
      </c>
      <c r="G19" s="201" t="s">
        <v>29</v>
      </c>
      <c r="H19" s="202" t="s">
        <v>159</v>
      </c>
    </row>
    <row r="20" ht="16" customHeight="1" spans="1:9">
      <c r="A20" s="203" t="str">
        <f>明细!C26</f>
        <v>螺钉</v>
      </c>
      <c r="B20" s="204"/>
      <c r="C20" s="205"/>
      <c r="D20" s="206"/>
      <c r="E20" s="203" t="str">
        <f>明细!K26</f>
        <v>PCS</v>
      </c>
      <c r="F20" s="207">
        <f>明细!I26</f>
        <v>16</v>
      </c>
      <c r="G20" s="207">
        <f>明细!G26</f>
        <v>6.22</v>
      </c>
      <c r="H20" s="208">
        <f>明细!H26</f>
        <v>99.52</v>
      </c>
      <c r="I20" s="209" t="str">
        <f>明细!Q26</f>
        <v>YS323</v>
      </c>
    </row>
    <row r="21" ht="16" customHeight="1" spans="1:9">
      <c r="A21" s="203" t="str">
        <f>明细!C27</f>
        <v>螺钉</v>
      </c>
      <c r="B21" s="204"/>
      <c r="C21" s="205"/>
      <c r="D21" s="206"/>
      <c r="E21" s="203" t="str">
        <f>明细!K27</f>
        <v>PCS</v>
      </c>
      <c r="F21" s="207">
        <f>明细!I27</f>
        <v>12</v>
      </c>
      <c r="G21" s="207">
        <f>明细!G27</f>
        <v>9.38</v>
      </c>
      <c r="H21" s="208">
        <f>明细!H27</f>
        <v>112.56</v>
      </c>
      <c r="I21" s="209" t="str">
        <f>明细!Q27</f>
        <v>YS325</v>
      </c>
    </row>
    <row r="22" ht="16" customHeight="1" spans="1:9">
      <c r="A22" s="203" t="str">
        <f>明细!C28</f>
        <v>螺钉</v>
      </c>
      <c r="B22" s="204"/>
      <c r="C22" s="205"/>
      <c r="D22" s="206"/>
      <c r="E22" s="203" t="str">
        <f>明细!K28</f>
        <v>PCS</v>
      </c>
      <c r="F22" s="207">
        <f>明细!I28</f>
        <v>12</v>
      </c>
      <c r="G22" s="207">
        <f>明细!G28</f>
        <v>10.68</v>
      </c>
      <c r="H22" s="208">
        <f>明细!H28</f>
        <v>128.16</v>
      </c>
      <c r="I22" s="209" t="str">
        <f>明细!Q28</f>
        <v>YS327</v>
      </c>
    </row>
    <row r="23" ht="16" customHeight="1" spans="1:9">
      <c r="A23" s="203" t="str">
        <f>明细!C29</f>
        <v>螺钉</v>
      </c>
      <c r="B23" s="204"/>
      <c r="C23" s="205"/>
      <c r="D23" s="206"/>
      <c r="E23" s="203" t="str">
        <f>明细!K29</f>
        <v>PCS</v>
      </c>
      <c r="F23" s="207">
        <f>明细!I29</f>
        <v>36</v>
      </c>
      <c r="G23" s="207">
        <f>明细!G29</f>
        <v>3.49</v>
      </c>
      <c r="H23" s="208">
        <f>明细!H29</f>
        <v>125.64</v>
      </c>
      <c r="I23" s="209" t="str">
        <f>明细!Q29</f>
        <v>YS328</v>
      </c>
    </row>
    <row r="24" ht="16" customHeight="1" spans="1:9">
      <c r="A24" s="203" t="str">
        <f>明细!C30</f>
        <v>螺钉</v>
      </c>
      <c r="B24" s="204"/>
      <c r="C24" s="205"/>
      <c r="D24" s="206"/>
      <c r="E24" s="203" t="str">
        <f>明细!K30</f>
        <v>PCS</v>
      </c>
      <c r="F24" s="207">
        <f>明细!I30</f>
        <v>36</v>
      </c>
      <c r="G24" s="207">
        <f>明细!G30</f>
        <v>7.52</v>
      </c>
      <c r="H24" s="208">
        <f>明细!H30</f>
        <v>270.72</v>
      </c>
      <c r="I24" s="209" t="str">
        <f>明细!Q30</f>
        <v>YS329</v>
      </c>
    </row>
    <row r="25" ht="16" customHeight="1" spans="1:9">
      <c r="A25" s="203" t="str">
        <f>明细!C31</f>
        <v>螺钉</v>
      </c>
      <c r="B25" s="204"/>
      <c r="C25" s="205"/>
      <c r="D25" s="206"/>
      <c r="E25" s="203" t="str">
        <f>明细!K31</f>
        <v>PCS</v>
      </c>
      <c r="F25" s="207">
        <f>明细!I31</f>
        <v>8</v>
      </c>
      <c r="G25" s="207">
        <f>明细!G31</f>
        <v>13.74</v>
      </c>
      <c r="H25" s="208">
        <f>明细!H31</f>
        <v>109.92</v>
      </c>
      <c r="I25" s="209" t="str">
        <f>明细!Q31</f>
        <v>YS145</v>
      </c>
    </row>
    <row r="26" ht="16" customHeight="1" spans="1:9">
      <c r="A26" s="203" t="str">
        <f>明细!C32</f>
        <v>螺钉</v>
      </c>
      <c r="B26" s="204"/>
      <c r="C26" s="205"/>
      <c r="D26" s="206"/>
      <c r="E26" s="203" t="str">
        <f>明细!K32</f>
        <v>PCS</v>
      </c>
      <c r="F26" s="207">
        <f>明细!I32</f>
        <v>12</v>
      </c>
      <c r="G26" s="207">
        <f>明细!G32</f>
        <v>7.99</v>
      </c>
      <c r="H26" s="208">
        <f>明细!H32</f>
        <v>95.88</v>
      </c>
      <c r="I26" s="209" t="str">
        <f>明细!Q32</f>
        <v>YS161</v>
      </c>
    </row>
    <row r="27" ht="16" customHeight="1" spans="1:9">
      <c r="A27" s="203" t="str">
        <f>明细!C33</f>
        <v>栏杆支架</v>
      </c>
      <c r="B27" s="204"/>
      <c r="C27" s="205"/>
      <c r="D27" s="206"/>
      <c r="E27" s="203" t="str">
        <f>明细!K33</f>
        <v>PCS</v>
      </c>
      <c r="F27" s="207">
        <f>明细!I33</f>
        <v>3</v>
      </c>
      <c r="G27" s="207">
        <f>明细!G33</f>
        <v>30.09</v>
      </c>
      <c r="H27" s="208">
        <f>明细!H33</f>
        <v>90.27</v>
      </c>
      <c r="I27" s="209" t="str">
        <f>明细!Q33</f>
        <v>YS382</v>
      </c>
    </row>
    <row r="28" ht="16" customHeight="1" spans="1:9">
      <c r="A28" s="203" t="str">
        <f>明细!C34</f>
        <v>栏杆支架</v>
      </c>
      <c r="B28" s="204"/>
      <c r="C28" s="205"/>
      <c r="D28" s="206"/>
      <c r="E28" s="203" t="str">
        <f>明细!K34</f>
        <v>PCS</v>
      </c>
      <c r="F28" s="207">
        <f>明细!I34</f>
        <v>12</v>
      </c>
      <c r="G28" s="207">
        <f>明细!G34</f>
        <v>5.01</v>
      </c>
      <c r="H28" s="208">
        <f>明细!H34</f>
        <v>60.12</v>
      </c>
      <c r="I28" s="209" t="str">
        <f>明细!Q34</f>
        <v>YS125</v>
      </c>
    </row>
    <row r="29" ht="16" customHeight="1" spans="1:9">
      <c r="A29" s="203" t="str">
        <f>明细!C35</f>
        <v>栏杆支架</v>
      </c>
      <c r="B29" s="204"/>
      <c r="C29" s="205"/>
      <c r="D29" s="206"/>
      <c r="E29" s="203" t="str">
        <f>明细!K35</f>
        <v>PCS</v>
      </c>
      <c r="F29" s="207">
        <f>明细!I35</f>
        <v>6</v>
      </c>
      <c r="G29" s="207">
        <f>明细!G35</f>
        <v>10.03</v>
      </c>
      <c r="H29" s="208">
        <f>明细!H35</f>
        <v>60.18</v>
      </c>
      <c r="I29" s="209" t="str">
        <f>明细!Q35</f>
        <v>YS124</v>
      </c>
    </row>
    <row r="30" ht="16" customHeight="1" spans="1:9">
      <c r="A30" s="203" t="str">
        <f>明细!C36</f>
        <v>栏杆支架</v>
      </c>
      <c r="B30" s="204"/>
      <c r="C30" s="205"/>
      <c r="D30" s="206"/>
      <c r="E30" s="203" t="str">
        <f>明细!K36</f>
        <v>PCS</v>
      </c>
      <c r="F30" s="207">
        <f>明细!I36</f>
        <v>4</v>
      </c>
      <c r="G30" s="207">
        <f>明细!G36</f>
        <v>20.06</v>
      </c>
      <c r="H30" s="208">
        <f>明细!H36</f>
        <v>80.24</v>
      </c>
      <c r="I30" s="209" t="str">
        <f>明细!Q36</f>
        <v>YS381</v>
      </c>
    </row>
    <row r="31" ht="16" customHeight="1" spans="1:9">
      <c r="A31" s="203" t="str">
        <f>明细!C37</f>
        <v>螺钉</v>
      </c>
      <c r="B31" s="204"/>
      <c r="C31" s="205"/>
      <c r="D31" s="206"/>
      <c r="E31" s="203" t="str">
        <f>明细!K37</f>
        <v>PCS</v>
      </c>
      <c r="F31" s="207">
        <f>明细!I37</f>
        <v>12</v>
      </c>
      <c r="G31" s="207">
        <f>明细!G37</f>
        <v>11.11</v>
      </c>
      <c r="H31" s="208">
        <f>明细!H37</f>
        <v>133.32</v>
      </c>
      <c r="I31" s="209" t="str">
        <f>明细!Q37</f>
        <v>YS356</v>
      </c>
    </row>
    <row r="32" ht="16" customHeight="1" spans="1:9">
      <c r="A32" s="203" t="str">
        <f>明细!C38</f>
        <v>不锈钢连接件底座</v>
      </c>
      <c r="B32" s="204"/>
      <c r="C32" s="205"/>
      <c r="D32" s="206"/>
      <c r="E32" s="203" t="str">
        <f>明细!K38</f>
        <v>PCS</v>
      </c>
      <c r="F32" s="207">
        <f>明细!I38</f>
        <v>34</v>
      </c>
      <c r="G32" s="207">
        <f>明细!G38</f>
        <v>13</v>
      </c>
      <c r="H32" s="208">
        <f>明细!H38</f>
        <v>442</v>
      </c>
      <c r="I32" s="209" t="str">
        <f>明细!Q38</f>
        <v>YS71</v>
      </c>
    </row>
    <row r="33" ht="16" customHeight="1" spans="1:9">
      <c r="A33" s="203" t="str">
        <f>明细!C39</f>
        <v>连接件底座</v>
      </c>
      <c r="B33" s="204"/>
      <c r="C33" s="205"/>
      <c r="D33" s="206"/>
      <c r="E33" s="203" t="str">
        <f>明细!K39</f>
        <v>PCS</v>
      </c>
      <c r="F33" s="207">
        <f>明细!I39</f>
        <v>21</v>
      </c>
      <c r="G33" s="207">
        <f>明细!G39</f>
        <v>16.21</v>
      </c>
      <c r="H33" s="208">
        <f>明细!H39</f>
        <v>340.41</v>
      </c>
      <c r="I33" s="209" t="str">
        <f>明细!Q39</f>
        <v>YS43</v>
      </c>
    </row>
    <row r="34" ht="16" customHeight="1" spans="1:9">
      <c r="A34" s="203" t="str">
        <f>明细!C40</f>
        <v>连接件底座</v>
      </c>
      <c r="B34" s="204"/>
      <c r="C34" s="205"/>
      <c r="D34" s="206"/>
      <c r="E34" s="203" t="str">
        <f>明细!K40</f>
        <v>PCS</v>
      </c>
      <c r="F34" s="207">
        <f>明细!I40</f>
        <v>11</v>
      </c>
      <c r="G34" s="207">
        <f>明细!G40</f>
        <v>32.31</v>
      </c>
      <c r="H34" s="208">
        <f>明细!H40</f>
        <v>355.41</v>
      </c>
      <c r="I34" s="209" t="str">
        <f>明细!Q40</f>
        <v>YS44</v>
      </c>
    </row>
    <row r="35" ht="16" customHeight="1" spans="1:9">
      <c r="A35" s="203" t="str">
        <f>明细!C41</f>
        <v>连接件底座</v>
      </c>
      <c r="B35" s="204"/>
      <c r="C35" s="205"/>
      <c r="D35" s="206"/>
      <c r="E35" s="203" t="str">
        <f>明细!K41</f>
        <v>PCS</v>
      </c>
      <c r="F35" s="207">
        <f>明细!I41</f>
        <v>36</v>
      </c>
      <c r="G35" s="207">
        <f>明细!G41</f>
        <v>3.23</v>
      </c>
      <c r="H35" s="208">
        <f>明细!H41</f>
        <v>116.28</v>
      </c>
      <c r="I35" s="209" t="str">
        <f>明细!Q41</f>
        <v>YS40</v>
      </c>
    </row>
    <row r="36" ht="16" customHeight="1" spans="1:9">
      <c r="A36" s="203" t="str">
        <f>明细!C42</f>
        <v>连接件底座</v>
      </c>
      <c r="B36" s="204"/>
      <c r="C36" s="205"/>
      <c r="D36" s="206"/>
      <c r="E36" s="203" t="str">
        <f>明细!K42</f>
        <v>PCS</v>
      </c>
      <c r="F36" s="207">
        <f>明细!I42</f>
        <v>9</v>
      </c>
      <c r="G36" s="207">
        <f>明细!G42</f>
        <v>4.87</v>
      </c>
      <c r="H36" s="208">
        <f>明细!H42</f>
        <v>43.83</v>
      </c>
      <c r="I36" s="209" t="str">
        <f>明细!Q42</f>
        <v>YS41</v>
      </c>
    </row>
    <row r="37" ht="16" customHeight="1" spans="1:9">
      <c r="A37" s="203" t="str">
        <f>明细!C43</f>
        <v>连接件底座</v>
      </c>
      <c r="B37" s="204"/>
      <c r="C37" s="205"/>
      <c r="D37" s="206"/>
      <c r="E37" s="203" t="str">
        <f>明细!K43</f>
        <v>PCS</v>
      </c>
      <c r="F37" s="207">
        <f>明细!I43</f>
        <v>48</v>
      </c>
      <c r="G37" s="207">
        <f>明细!G43</f>
        <v>6.49</v>
      </c>
      <c r="H37" s="208">
        <f>明细!H43</f>
        <v>311.52</v>
      </c>
      <c r="I37" s="209" t="str">
        <f>明细!Q43</f>
        <v>YS162</v>
      </c>
    </row>
    <row r="38" ht="16" customHeight="1" spans="1:9">
      <c r="A38" s="203" t="str">
        <f>明细!C44</f>
        <v>连接件底座</v>
      </c>
      <c r="B38" s="204"/>
      <c r="C38" s="205"/>
      <c r="D38" s="206"/>
      <c r="E38" s="203" t="str">
        <f>明细!K44</f>
        <v>PCS</v>
      </c>
      <c r="F38" s="207">
        <f>明细!I44</f>
        <v>12</v>
      </c>
      <c r="G38" s="207">
        <f>明细!G44</f>
        <v>8.1</v>
      </c>
      <c r="H38" s="208">
        <f>明细!H44</f>
        <v>97.2</v>
      </c>
      <c r="I38" s="209" t="str">
        <f>明细!Q44</f>
        <v>YS42</v>
      </c>
    </row>
    <row r="39" ht="16" customHeight="1" spans="1:9">
      <c r="A39" s="203" t="str">
        <f>明细!C45</f>
        <v>连接件底座</v>
      </c>
      <c r="B39" s="204"/>
      <c r="C39" s="205"/>
      <c r="D39" s="206"/>
      <c r="E39" s="203" t="str">
        <f>明细!K45</f>
        <v>PCS</v>
      </c>
      <c r="F39" s="207">
        <f>明细!I45</f>
        <v>39</v>
      </c>
      <c r="G39" s="207">
        <f>明细!G45</f>
        <v>14.56</v>
      </c>
      <c r="H39" s="208">
        <f>明细!H45</f>
        <v>567.84</v>
      </c>
      <c r="I39" s="209" t="str">
        <f>明细!Q45</f>
        <v>YS205</v>
      </c>
    </row>
    <row r="40" ht="16" customHeight="1" spans="1:9">
      <c r="A40" s="203" t="str">
        <f>明细!C46</f>
        <v>不锈钢连接件底座</v>
      </c>
      <c r="B40" s="204"/>
      <c r="C40" s="205"/>
      <c r="D40" s="206"/>
      <c r="E40" s="203" t="str">
        <f>明细!K46</f>
        <v>PCS</v>
      </c>
      <c r="F40" s="207">
        <f>明细!I46</f>
        <v>24</v>
      </c>
      <c r="G40" s="207">
        <f>明细!G46</f>
        <v>10.03</v>
      </c>
      <c r="H40" s="208">
        <f>明细!H46</f>
        <v>240.72</v>
      </c>
      <c r="I40" s="209" t="str">
        <f>明细!Q46</f>
        <v>YS73</v>
      </c>
    </row>
    <row r="41" ht="16" customHeight="1" spans="1:9">
      <c r="A41" s="203" t="str">
        <f>明细!C47</f>
        <v>连接件底座</v>
      </c>
      <c r="B41" s="204"/>
      <c r="C41" s="205"/>
      <c r="D41" s="206"/>
      <c r="E41" s="203" t="str">
        <f>明细!K47</f>
        <v>PCS</v>
      </c>
      <c r="F41" s="207">
        <f>明细!I47</f>
        <v>14</v>
      </c>
      <c r="G41" s="207">
        <f>明细!G47</f>
        <v>19.31</v>
      </c>
      <c r="H41" s="208">
        <f>明细!H47</f>
        <v>270.34</v>
      </c>
      <c r="I41" s="209" t="str">
        <f>明细!Q47</f>
        <v>YS163</v>
      </c>
    </row>
    <row r="42" ht="16" customHeight="1" spans="1:9">
      <c r="A42" s="203" t="str">
        <f>明细!C48</f>
        <v>不锈钢连接件底座</v>
      </c>
      <c r="B42" s="204"/>
      <c r="C42" s="205"/>
      <c r="D42" s="206"/>
      <c r="E42" s="203" t="str">
        <f>明细!K48</f>
        <v>PCS</v>
      </c>
      <c r="F42" s="207">
        <f>明细!I48</f>
        <v>9</v>
      </c>
      <c r="G42" s="207">
        <f>明细!G48</f>
        <v>11.16</v>
      </c>
      <c r="H42" s="208">
        <f>明细!H48</f>
        <v>100.44</v>
      </c>
      <c r="I42" s="209" t="str">
        <f>明细!Q48</f>
        <v>YS278</v>
      </c>
    </row>
    <row r="43" ht="16" customHeight="1" spans="1:9">
      <c r="A43" s="203" t="str">
        <f>明细!C49</f>
        <v>不锈钢连接件底座</v>
      </c>
      <c r="B43" s="204"/>
      <c r="C43" s="205"/>
      <c r="D43" s="206"/>
      <c r="E43" s="203" t="str">
        <f>明细!K49</f>
        <v>PCS</v>
      </c>
      <c r="F43" s="207">
        <f>明细!I49</f>
        <v>4</v>
      </c>
      <c r="G43" s="207">
        <f>明细!G49</f>
        <v>21.51</v>
      </c>
      <c r="H43" s="208">
        <f>明细!H49</f>
        <v>86.04</v>
      </c>
      <c r="I43" s="209" t="str">
        <f>明细!Q49</f>
        <v>YS279</v>
      </c>
    </row>
    <row r="44" ht="16" customHeight="1" spans="1:9">
      <c r="A44" s="203" t="str">
        <f>明细!C50</f>
        <v>不锈钢连接件底座</v>
      </c>
      <c r="B44" s="204"/>
      <c r="C44" s="205"/>
      <c r="D44" s="206"/>
      <c r="E44" s="203" t="str">
        <f>明细!K50</f>
        <v>PCS</v>
      </c>
      <c r="F44" s="207">
        <f>明细!I50</f>
        <v>3</v>
      </c>
      <c r="G44" s="207">
        <f>明细!G50</f>
        <v>44.61</v>
      </c>
      <c r="H44" s="208">
        <f>明细!H50</f>
        <v>133.83</v>
      </c>
      <c r="I44" s="209" t="str">
        <f>明细!Q50</f>
        <v>YS280</v>
      </c>
    </row>
    <row r="45" ht="16" customHeight="1" spans="1:9">
      <c r="A45" s="203" t="str">
        <f>明细!C51</f>
        <v>螺钉</v>
      </c>
      <c r="B45" s="204"/>
      <c r="C45" s="205"/>
      <c r="D45" s="206"/>
      <c r="E45" s="203" t="str">
        <f>明细!K51</f>
        <v>PCS</v>
      </c>
      <c r="F45" s="207">
        <f>明细!I51</f>
        <v>8</v>
      </c>
      <c r="G45" s="207">
        <f>明细!G51</f>
        <v>22.1</v>
      </c>
      <c r="H45" s="208">
        <f>明细!H51</f>
        <v>176.8</v>
      </c>
      <c r="I45" s="209" t="str">
        <f>明细!Q51</f>
        <v>YS545</v>
      </c>
    </row>
    <row r="46" ht="16" customHeight="1" spans="1:9">
      <c r="A46" s="203" t="str">
        <f>明细!C52</f>
        <v>螺钉</v>
      </c>
      <c r="B46" s="204"/>
      <c r="C46" s="210"/>
      <c r="D46" s="210"/>
      <c r="E46" s="203" t="str">
        <f>明细!K52</f>
        <v>PCS</v>
      </c>
      <c r="F46" s="207">
        <f>明细!I52</f>
        <v>12</v>
      </c>
      <c r="G46" s="207">
        <f>明细!G52</f>
        <v>9.56</v>
      </c>
      <c r="H46" s="208">
        <f>明细!H52</f>
        <v>114.72</v>
      </c>
      <c r="I46" s="209" t="str">
        <f>明细!Q52</f>
        <v>YS317</v>
      </c>
    </row>
    <row r="47" ht="16" customHeight="1" spans="1:9">
      <c r="A47" s="203" t="str">
        <f>明细!C53</f>
        <v>螺钉</v>
      </c>
      <c r="B47" s="204"/>
      <c r="C47" s="211"/>
      <c r="D47" s="212"/>
      <c r="E47" s="203" t="str">
        <f>明细!K53</f>
        <v>PCS</v>
      </c>
      <c r="F47" s="207">
        <f>明细!I53</f>
        <v>32</v>
      </c>
      <c r="G47" s="207">
        <f>明细!G53</f>
        <v>4.79</v>
      </c>
      <c r="H47" s="208">
        <f>明细!H53</f>
        <v>153.28</v>
      </c>
      <c r="I47" s="209" t="str">
        <f>明细!Q53</f>
        <v>YS316</v>
      </c>
    </row>
    <row r="48" ht="16" customHeight="1" spans="1:9">
      <c r="A48" s="203" t="str">
        <f>明细!C54</f>
        <v>螺钉</v>
      </c>
      <c r="B48" s="204"/>
      <c r="C48" s="213"/>
      <c r="D48" s="214"/>
      <c r="E48" s="203" t="str">
        <f>明细!K54</f>
        <v>PCS</v>
      </c>
      <c r="F48" s="207">
        <f>明细!I54</f>
        <v>16</v>
      </c>
      <c r="G48" s="207">
        <f>明细!G54</f>
        <v>4.79</v>
      </c>
      <c r="H48" s="208">
        <f>明细!H54</f>
        <v>76.64</v>
      </c>
      <c r="I48" s="209" t="str">
        <f>明细!Q54</f>
        <v>YS384</v>
      </c>
    </row>
    <row r="49" ht="16" customHeight="1" spans="1:9">
      <c r="A49" s="203" t="str">
        <f>明细!C55</f>
        <v>螺钉</v>
      </c>
      <c r="B49" s="204"/>
      <c r="C49" s="213"/>
      <c r="D49" s="214"/>
      <c r="E49" s="203" t="str">
        <f>明细!K55</f>
        <v>PCS</v>
      </c>
      <c r="F49" s="207">
        <f>明细!I55</f>
        <v>12</v>
      </c>
      <c r="G49" s="207">
        <f>明细!G55</f>
        <v>12.81</v>
      </c>
      <c r="H49" s="208">
        <f>明细!H55</f>
        <v>153.72</v>
      </c>
      <c r="I49" s="209" t="str">
        <f>明细!Q55</f>
        <v>YS361</v>
      </c>
    </row>
    <row r="50" ht="16" customHeight="1" spans="1:9">
      <c r="A50" s="203" t="str">
        <f>明细!C56</f>
        <v>螺钉</v>
      </c>
      <c r="B50" s="204"/>
      <c r="C50" s="213"/>
      <c r="D50" s="214"/>
      <c r="E50" s="203" t="str">
        <f>明细!K56</f>
        <v>PCS</v>
      </c>
      <c r="F50" s="207">
        <f>明细!I56</f>
        <v>4</v>
      </c>
      <c r="G50" s="207">
        <f>明细!G56</f>
        <v>38.07</v>
      </c>
      <c r="H50" s="208">
        <f>明细!H56</f>
        <v>152.28</v>
      </c>
      <c r="I50" s="209" t="str">
        <f>明细!Q56</f>
        <v>YS320</v>
      </c>
    </row>
    <row r="51" ht="16" customHeight="1" spans="1:9">
      <c r="A51" s="203" t="str">
        <f>明细!C57</f>
        <v>螺钉</v>
      </c>
      <c r="B51" s="204"/>
      <c r="C51" s="213"/>
      <c r="D51" s="214"/>
      <c r="E51" s="203" t="str">
        <f>明细!K57</f>
        <v>PCS</v>
      </c>
      <c r="F51" s="207">
        <f>明细!I57</f>
        <v>24</v>
      </c>
      <c r="G51" s="207">
        <f>明细!G57</f>
        <v>6.41</v>
      </c>
      <c r="H51" s="208">
        <f>明细!H57</f>
        <v>153.84</v>
      </c>
      <c r="I51" s="209" t="str">
        <f>明细!Q57</f>
        <v>YS319</v>
      </c>
    </row>
    <row r="52" ht="16" customHeight="1" spans="1:9">
      <c r="A52" s="203" t="str">
        <f>明细!C58</f>
        <v>螺钉</v>
      </c>
      <c r="B52" s="204"/>
      <c r="C52" s="213"/>
      <c r="D52" s="214"/>
      <c r="E52" s="203" t="str">
        <f>明细!K58</f>
        <v>PCS</v>
      </c>
      <c r="F52" s="207">
        <f>明细!I58</f>
        <v>6</v>
      </c>
      <c r="G52" s="207">
        <f>明细!G58</f>
        <v>16.53</v>
      </c>
      <c r="H52" s="208">
        <f>明细!H58</f>
        <v>99.18</v>
      </c>
      <c r="I52" s="209" t="str">
        <f>明细!Q58</f>
        <v>YS544</v>
      </c>
    </row>
    <row r="53" ht="16" customHeight="1" spans="1:9">
      <c r="A53" s="203" t="str">
        <f>明细!C59</f>
        <v>螺钉</v>
      </c>
      <c r="B53" s="204"/>
      <c r="C53" s="213"/>
      <c r="D53" s="214"/>
      <c r="E53" s="203" t="str">
        <f>明细!K59</f>
        <v>PCS</v>
      </c>
      <c r="F53" s="207">
        <f>明细!I59</f>
        <v>4</v>
      </c>
      <c r="G53" s="207">
        <f>明细!G59</f>
        <v>26.46</v>
      </c>
      <c r="H53" s="208">
        <f>明细!H59</f>
        <v>105.84</v>
      </c>
      <c r="I53" s="209" t="str">
        <f>明细!Q59</f>
        <v>YS181</v>
      </c>
    </row>
    <row r="54" ht="16" customHeight="1" spans="1:9">
      <c r="A54" s="203" t="str">
        <f>明细!C60</f>
        <v>螺钉</v>
      </c>
      <c r="B54" s="204"/>
      <c r="C54" s="213"/>
      <c r="D54" s="214"/>
      <c r="E54" s="203" t="str">
        <f>明细!K60</f>
        <v>PCS</v>
      </c>
      <c r="F54" s="207">
        <f>明细!I60</f>
        <v>2</v>
      </c>
      <c r="G54" s="207">
        <f>明细!G60</f>
        <v>25.63</v>
      </c>
      <c r="H54" s="208">
        <f>明细!H60</f>
        <v>51.26</v>
      </c>
      <c r="I54" s="209" t="str">
        <f>明细!Q60</f>
        <v>YS524</v>
      </c>
    </row>
    <row r="55" ht="16" customHeight="1" spans="1:9">
      <c r="A55" s="203" t="str">
        <f>明细!C61</f>
        <v>螺钉</v>
      </c>
      <c r="B55" s="204"/>
      <c r="C55" s="213"/>
      <c r="D55" s="214"/>
      <c r="E55" s="203" t="str">
        <f>明细!K61</f>
        <v>PCS</v>
      </c>
      <c r="F55" s="207">
        <f>明细!I61</f>
        <v>8</v>
      </c>
      <c r="G55" s="207">
        <f>明细!G61</f>
        <v>9.01</v>
      </c>
      <c r="H55" s="208">
        <f>明细!H61</f>
        <v>72.08</v>
      </c>
      <c r="I55" s="209" t="str">
        <f>明细!Q61</f>
        <v>YS523</v>
      </c>
    </row>
    <row r="56" ht="16" customHeight="1" spans="1:9">
      <c r="A56" s="203" t="str">
        <f>明细!C62</f>
        <v>螺钉</v>
      </c>
      <c r="B56" s="204"/>
      <c r="C56" s="213"/>
      <c r="D56" s="214"/>
      <c r="E56" s="203" t="str">
        <f>明细!K62</f>
        <v>PCS</v>
      </c>
      <c r="F56" s="207">
        <f>明细!I62</f>
        <v>16</v>
      </c>
      <c r="G56" s="207">
        <f>明细!G62</f>
        <v>3.58</v>
      </c>
      <c r="H56" s="208">
        <f>明细!H62</f>
        <v>57.28</v>
      </c>
      <c r="I56" s="209" t="str">
        <f>明细!Q62</f>
        <v>YS331</v>
      </c>
    </row>
    <row r="57" ht="16" customHeight="1" spans="1:9">
      <c r="A57" s="203" t="str">
        <f>明细!C63</f>
        <v>螺钉</v>
      </c>
      <c r="B57" s="204"/>
      <c r="C57" s="213"/>
      <c r="D57" s="214"/>
      <c r="E57" s="203" t="str">
        <f>明细!K63</f>
        <v>PCS</v>
      </c>
      <c r="F57" s="207">
        <f>明细!I63</f>
        <v>12</v>
      </c>
      <c r="G57" s="207">
        <f>明细!G63</f>
        <v>5.29</v>
      </c>
      <c r="H57" s="208">
        <f>明细!H63</f>
        <v>63.48</v>
      </c>
      <c r="I57" s="209" t="str">
        <f>明细!Q63</f>
        <v>YS340</v>
      </c>
    </row>
    <row r="58" ht="16" customHeight="1" spans="1:9">
      <c r="A58" s="203" t="str">
        <f>明细!C64</f>
        <v>螺钉</v>
      </c>
      <c r="B58" s="204"/>
      <c r="C58" s="213"/>
      <c r="D58" s="214"/>
      <c r="E58" s="203" t="str">
        <f>明细!K64</f>
        <v>PCS</v>
      </c>
      <c r="F58" s="207">
        <f>明细!I64</f>
        <v>18</v>
      </c>
      <c r="G58" s="207">
        <f>明细!G64</f>
        <v>16.02</v>
      </c>
      <c r="H58" s="208">
        <f>明细!H64</f>
        <v>288.36</v>
      </c>
      <c r="I58" s="209" t="str">
        <f>明细!Q64</f>
        <v>YS313</v>
      </c>
    </row>
    <row r="59" ht="16" customHeight="1" spans="1:9">
      <c r="A59" s="203" t="str">
        <f>明细!C65</f>
        <v>螺钉</v>
      </c>
      <c r="B59" s="204"/>
      <c r="C59" s="213"/>
      <c r="D59" s="214"/>
      <c r="E59" s="203" t="str">
        <f>明细!K65</f>
        <v>PCS</v>
      </c>
      <c r="F59" s="207">
        <f>明细!I65</f>
        <v>8</v>
      </c>
      <c r="G59" s="207">
        <f>明细!G65</f>
        <v>12.87</v>
      </c>
      <c r="H59" s="208">
        <f>明细!H65</f>
        <v>102.96</v>
      </c>
      <c r="I59" s="209" t="str">
        <f>明细!Q65</f>
        <v>YS252</v>
      </c>
    </row>
    <row r="60" ht="16" customHeight="1" spans="1:9">
      <c r="A60" s="203" t="str">
        <f>明细!C66</f>
        <v>螺钉</v>
      </c>
      <c r="B60" s="204"/>
      <c r="C60" s="213"/>
      <c r="D60" s="214"/>
      <c r="E60" s="203" t="str">
        <f>明细!K66</f>
        <v>PCS</v>
      </c>
      <c r="F60" s="207">
        <f>明细!I66</f>
        <v>12</v>
      </c>
      <c r="G60" s="207">
        <f>明细!G66</f>
        <v>17.05</v>
      </c>
      <c r="H60" s="208">
        <f>明细!H66</f>
        <v>204.6</v>
      </c>
      <c r="I60" s="209" t="str">
        <f>明细!Q66</f>
        <v>YS251</v>
      </c>
    </row>
    <row r="61" ht="16" customHeight="1" spans="1:9">
      <c r="A61" s="203" t="str">
        <f>明细!C67</f>
        <v>螺钉</v>
      </c>
      <c r="B61" s="204"/>
      <c r="C61" s="213"/>
      <c r="D61" s="214"/>
      <c r="E61" s="203" t="str">
        <f>明细!K67</f>
        <v>PCS</v>
      </c>
      <c r="F61" s="207">
        <f>明细!I67</f>
        <v>10</v>
      </c>
      <c r="G61" s="207">
        <f>明细!G67</f>
        <v>19.61</v>
      </c>
      <c r="H61" s="208">
        <f>明细!H67</f>
        <v>196.1</v>
      </c>
      <c r="I61" s="209" t="str">
        <f>明细!Q67</f>
        <v>YS678</v>
      </c>
    </row>
    <row r="62" ht="16" customHeight="1" spans="1:9">
      <c r="A62" s="203" t="str">
        <f>明细!C68</f>
        <v>螺钉</v>
      </c>
      <c r="B62" s="204"/>
      <c r="C62" s="213"/>
      <c r="D62" s="214"/>
      <c r="E62" s="203" t="str">
        <f>明细!K68</f>
        <v>PCS</v>
      </c>
      <c r="F62" s="207">
        <f>明细!I68</f>
        <v>36</v>
      </c>
      <c r="G62" s="207">
        <f>明细!G68</f>
        <v>6.41</v>
      </c>
      <c r="H62" s="208">
        <f>明细!H68</f>
        <v>230.76</v>
      </c>
      <c r="I62" s="209" t="str">
        <f>明细!Q68</f>
        <v>YS108</v>
      </c>
    </row>
    <row r="63" ht="16" customHeight="1" spans="1:9">
      <c r="A63" s="203" t="str">
        <f>明细!C69</f>
        <v>螺钉</v>
      </c>
      <c r="B63" s="204"/>
      <c r="C63" s="213"/>
      <c r="D63" s="214"/>
      <c r="E63" s="203" t="str">
        <f>明细!K69</f>
        <v>PCS</v>
      </c>
      <c r="F63" s="207">
        <f>明细!I69</f>
        <v>30</v>
      </c>
      <c r="G63" s="207">
        <f>明细!G69</f>
        <v>1.86</v>
      </c>
      <c r="H63" s="208">
        <f>明细!H69</f>
        <v>55.8</v>
      </c>
      <c r="I63" s="209" t="str">
        <f>明细!Q69</f>
        <v>YS157</v>
      </c>
    </row>
    <row r="64" ht="16" customHeight="1" spans="1:9">
      <c r="A64" s="203" t="str">
        <f>明细!C70</f>
        <v>螺钉</v>
      </c>
      <c r="B64" s="204"/>
      <c r="C64" s="213"/>
      <c r="D64" s="214"/>
      <c r="E64" s="203" t="str">
        <f>明细!K70</f>
        <v>PCS</v>
      </c>
      <c r="F64" s="207">
        <f>明细!I70</f>
        <v>10</v>
      </c>
      <c r="G64" s="207">
        <f>明细!G70</f>
        <v>32.69</v>
      </c>
      <c r="H64" s="208">
        <f>明细!H70</f>
        <v>326.9</v>
      </c>
      <c r="I64" s="209" t="str">
        <f>明细!Q70</f>
        <v>YS49</v>
      </c>
    </row>
    <row r="65" ht="16" customHeight="1" spans="1:9">
      <c r="A65" s="203" t="str">
        <f>明细!C71</f>
        <v>螺钉</v>
      </c>
      <c r="B65" s="204"/>
      <c r="C65" s="213"/>
      <c r="D65" s="214"/>
      <c r="E65" s="203" t="str">
        <f>明细!K71</f>
        <v>PCS</v>
      </c>
      <c r="F65" s="207">
        <f>明细!I71</f>
        <v>208</v>
      </c>
      <c r="G65" s="207">
        <f>明细!G71</f>
        <v>3.27</v>
      </c>
      <c r="H65" s="208">
        <f>明细!H71</f>
        <v>680.16</v>
      </c>
      <c r="I65" s="209" t="str">
        <f>明细!Q71</f>
        <v>YS48</v>
      </c>
    </row>
    <row r="66" ht="16" customHeight="1" spans="1:9">
      <c r="A66" s="203" t="str">
        <f>明细!C72</f>
        <v>螺钉</v>
      </c>
      <c r="B66" s="204"/>
      <c r="C66" s="213"/>
      <c r="D66" s="214"/>
      <c r="E66" s="203" t="str">
        <f>明细!K72</f>
        <v>PCS</v>
      </c>
      <c r="F66" s="207">
        <f>明细!I72</f>
        <v>12</v>
      </c>
      <c r="G66" s="207">
        <f>明细!G72</f>
        <v>24.51</v>
      </c>
      <c r="H66" s="208">
        <f>明细!H72</f>
        <v>294.12</v>
      </c>
      <c r="I66" s="209" t="str">
        <f>明细!Q72</f>
        <v>YS679</v>
      </c>
    </row>
    <row r="67" ht="16" customHeight="1" spans="1:9">
      <c r="A67" s="203" t="str">
        <f>明细!C73</f>
        <v>螺钉</v>
      </c>
      <c r="B67" s="204"/>
      <c r="C67" s="213"/>
      <c r="D67" s="214"/>
      <c r="E67" s="203" t="str">
        <f>明细!K73</f>
        <v>PCS</v>
      </c>
      <c r="F67" s="207">
        <f>明细!I73</f>
        <v>24</v>
      </c>
      <c r="G67" s="207">
        <f>明细!G73</f>
        <v>8.41</v>
      </c>
      <c r="H67" s="208">
        <f>明细!H73</f>
        <v>201.84</v>
      </c>
      <c r="I67" s="209" t="str">
        <f>明细!Q73</f>
        <v>YS107</v>
      </c>
    </row>
    <row r="68" ht="16" customHeight="1" spans="1:9">
      <c r="A68" s="203" t="str">
        <f>明细!C74</f>
        <v>螺钉</v>
      </c>
      <c r="B68" s="204"/>
      <c r="C68" s="213"/>
      <c r="D68" s="214"/>
      <c r="E68" s="203" t="str">
        <f>明细!K74</f>
        <v>PCS</v>
      </c>
      <c r="F68" s="207">
        <f>明细!I74</f>
        <v>18</v>
      </c>
      <c r="G68" s="207">
        <f>明细!G74</f>
        <v>21.45</v>
      </c>
      <c r="H68" s="208">
        <f>明细!H74</f>
        <v>386.1</v>
      </c>
      <c r="I68" s="209" t="str">
        <f>明细!Q74</f>
        <v>YS51</v>
      </c>
    </row>
    <row r="69" ht="16" customHeight="1" spans="1:9">
      <c r="A69" s="203" t="str">
        <f>明细!C75</f>
        <v>螺钉</v>
      </c>
      <c r="B69" s="204"/>
      <c r="C69" s="213"/>
      <c r="D69" s="214"/>
      <c r="E69" s="203" t="str">
        <f>明细!K75</f>
        <v>PCS</v>
      </c>
      <c r="F69" s="207">
        <f>明细!I75</f>
        <v>96</v>
      </c>
      <c r="G69" s="207">
        <f>明细!G75</f>
        <v>4.29</v>
      </c>
      <c r="H69" s="208">
        <f>明细!H75</f>
        <v>411.84</v>
      </c>
      <c r="I69" s="209" t="str">
        <f>明细!Q75</f>
        <v>YS50</v>
      </c>
    </row>
    <row r="70" ht="16" customHeight="1" spans="1:9">
      <c r="A70" s="203"/>
      <c r="B70" s="204"/>
      <c r="C70" s="213"/>
      <c r="D70" s="214"/>
      <c r="E70" s="203"/>
      <c r="F70" s="207"/>
      <c r="G70" s="207"/>
      <c r="H70" s="208"/>
    </row>
    <row r="71" ht="16" customHeight="1" spans="1:9">
      <c r="A71" s="203"/>
      <c r="B71" s="204"/>
      <c r="C71" s="213"/>
      <c r="D71" s="214"/>
      <c r="E71" s="203"/>
      <c r="F71" s="207"/>
      <c r="G71" s="207"/>
      <c r="H71" s="208"/>
    </row>
    <row r="72" ht="16" customHeight="1" spans="1:9">
      <c r="A72" s="203"/>
      <c r="B72" s="204"/>
      <c r="C72" s="213"/>
      <c r="D72" s="214"/>
      <c r="E72" s="203"/>
      <c r="F72" s="207"/>
      <c r="G72" s="207"/>
      <c r="H72" s="208"/>
    </row>
    <row r="73" ht="12" customHeight="1" spans="1:9">
      <c r="A73" s="200"/>
      <c r="B73" s="200"/>
      <c r="C73" s="200"/>
      <c r="D73" s="200"/>
      <c r="E73" s="200"/>
      <c r="F73" s="200"/>
      <c r="G73" s="215" t="s">
        <v>160</v>
      </c>
      <c r="H73" s="216">
        <f>SUM(H20:H72)</f>
        <v>9282.33</v>
      </c>
    </row>
    <row r="74" customHeight="1" spans="1:9">
      <c r="A74" s="172" t="s">
        <v>161</v>
      </c>
      <c r="B74" s="217" t="s">
        <v>35</v>
      </c>
      <c r="C74" s="218" t="str">
        <f>SUBSTITUTE(SUBSTITUTE(SUBSTITUTE(NUMBERSTRING(INT(H73),2)&amp;"圆"&amp;TEXT(MOD(H73,1)*100,"[dbnum2]0角0分"),"零角零分","整"),"零角","零"),"零分","")</f>
        <v>玖仟贰佰捌拾贰圆叁角叁分</v>
      </c>
      <c r="D74" s="218"/>
      <c r="E74" s="218"/>
      <c r="F74" s="218"/>
      <c r="G74" s="219"/>
      <c r="H74" s="219"/>
    </row>
    <row r="75" ht="12" customHeight="1" spans="1:9">
      <c r="A75" s="220" t="s">
        <v>162</v>
      </c>
      <c r="B75" s="221" t="s">
        <v>163</v>
      </c>
      <c r="C75" s="222"/>
      <c r="D75" s="223"/>
      <c r="E75" s="223"/>
      <c r="F75" s="223"/>
      <c r="G75" s="223"/>
      <c r="H75" s="223"/>
    </row>
    <row r="76" ht="12" customHeight="1" spans="1:9">
      <c r="A76" s="194" t="s">
        <v>164</v>
      </c>
      <c r="B76" s="189"/>
      <c r="C76" s="224" t="str">
        <f>明细!G13</f>
        <v>SHANGHAI</v>
      </c>
      <c r="D76" s="224"/>
      <c r="E76" s="225" t="s">
        <v>165</v>
      </c>
      <c r="F76" s="191"/>
      <c r="G76" s="226" t="str">
        <f>明细!G14</f>
        <v>美国</v>
      </c>
      <c r="H76" s="226"/>
    </row>
    <row r="77" ht="12" customHeight="1" spans="1:9">
      <c r="A77" s="189"/>
      <c r="B77" s="189"/>
      <c r="C77" s="227"/>
      <c r="D77" s="227"/>
      <c r="E77" s="189"/>
      <c r="F77" s="189"/>
      <c r="G77" s="228"/>
      <c r="H77" s="228"/>
    </row>
    <row r="78" s="172" customFormat="1" ht="12" customHeight="1" spans="1:9">
      <c r="A78" s="194" t="s">
        <v>166</v>
      </c>
      <c r="B78" s="189"/>
      <c r="C78" s="229"/>
      <c r="D78" s="229"/>
      <c r="E78" s="194" t="s">
        <v>167</v>
      </c>
      <c r="F78" s="189"/>
      <c r="G78" s="229"/>
      <c r="H78" s="229"/>
    </row>
    <row r="79" s="172" customFormat="1" ht="12" customHeight="1" spans="1:9">
      <c r="A79" s="189"/>
      <c r="B79" s="189"/>
      <c r="C79" s="230"/>
      <c r="D79" s="230"/>
      <c r="E79" s="189"/>
      <c r="F79" s="189"/>
      <c r="G79" s="230"/>
      <c r="H79" s="230"/>
    </row>
    <row r="80" s="172" customFormat="1" ht="12" customHeight="1" spans="1:9">
      <c r="A80" s="194" t="s">
        <v>168</v>
      </c>
      <c r="B80" s="189"/>
      <c r="C80" s="229"/>
      <c r="D80" s="229"/>
      <c r="E80" s="231"/>
      <c r="F80" s="231"/>
      <c r="G80" s="231"/>
      <c r="H80" s="231"/>
    </row>
    <row r="81" s="172" customFormat="1" ht="12" customHeight="1" spans="1:8">
      <c r="A81" s="189"/>
      <c r="B81" s="189"/>
      <c r="C81" s="230"/>
      <c r="D81" s="230"/>
      <c r="E81" s="231"/>
      <c r="F81" s="231"/>
      <c r="G81" s="231"/>
      <c r="H81" s="231"/>
    </row>
    <row r="82" s="172" customFormat="1" ht="10.5" customHeight="1" spans="1:8">
      <c r="A82" s="232" t="s">
        <v>169</v>
      </c>
      <c r="B82" s="232"/>
      <c r="C82" s="232"/>
      <c r="D82" s="232"/>
      <c r="E82" s="232"/>
      <c r="F82" s="232"/>
      <c r="G82" s="232"/>
      <c r="H82" s="232"/>
    </row>
    <row r="83" s="172" customFormat="1" ht="12" customHeight="1" spans="1:8">
      <c r="A83" s="232" t="s">
        <v>170</v>
      </c>
      <c r="B83" s="232"/>
      <c r="C83" s="232"/>
      <c r="D83" s="232"/>
      <c r="E83" s="232"/>
      <c r="F83" s="232"/>
      <c r="G83" s="232"/>
      <c r="H83" s="232"/>
    </row>
    <row r="84" s="172" customFormat="1" ht="12" customHeight="1" spans="1:8">
      <c r="A84" s="232" t="s">
        <v>171</v>
      </c>
      <c r="B84" s="232"/>
      <c r="C84" s="232"/>
      <c r="D84" s="232"/>
      <c r="E84" s="232"/>
      <c r="F84" s="232"/>
      <c r="G84" s="232"/>
      <c r="H84" s="232"/>
    </row>
    <row r="85" s="172" customFormat="1" ht="12" customHeight="1" spans="1:8">
      <c r="A85" s="232" t="s">
        <v>172</v>
      </c>
      <c r="B85" s="232"/>
      <c r="C85" s="232"/>
      <c r="D85" s="232"/>
      <c r="E85" s="232"/>
      <c r="F85" s="232"/>
      <c r="G85" s="232"/>
      <c r="H85" s="232"/>
    </row>
    <row r="86" s="172" customFormat="1" ht="12" customHeight="1" spans="1:8">
      <c r="A86" s="232" t="s">
        <v>173</v>
      </c>
      <c r="B86" s="232"/>
      <c r="C86" s="232"/>
      <c r="D86" s="232"/>
      <c r="E86" s="232"/>
      <c r="F86" s="232"/>
      <c r="G86" s="232"/>
      <c r="H86" s="232"/>
    </row>
    <row r="87" s="172" customFormat="1" ht="12" customHeight="1" spans="1:8">
      <c r="A87" s="232" t="s">
        <v>174</v>
      </c>
      <c r="B87" s="232"/>
      <c r="C87" s="232"/>
      <c r="D87" s="232"/>
      <c r="E87" s="232"/>
      <c r="F87" s="232"/>
      <c r="G87" s="232"/>
      <c r="H87" s="232"/>
    </row>
    <row r="88" s="172" customFormat="1" ht="12" customHeight="1" spans="1:8">
      <c r="A88" s="232" t="s">
        <v>175</v>
      </c>
      <c r="B88" s="232"/>
      <c r="C88" s="232"/>
      <c r="D88" s="232"/>
      <c r="E88" s="232"/>
      <c r="F88" s="232"/>
      <c r="G88" s="232"/>
      <c r="H88" s="232"/>
    </row>
    <row r="89" s="172" customFormat="1" ht="12" customHeight="1" spans="1:8">
      <c r="A89" s="232" t="s">
        <v>176</v>
      </c>
      <c r="B89" s="232"/>
      <c r="C89" s="232"/>
      <c r="D89" s="232"/>
      <c r="E89" s="232"/>
      <c r="F89" s="232"/>
      <c r="G89" s="232"/>
      <c r="H89" s="232"/>
    </row>
    <row r="90" s="172" customFormat="1" ht="12" customHeight="1" spans="1:8">
      <c r="A90" s="232" t="s">
        <v>177</v>
      </c>
      <c r="B90" s="232"/>
      <c r="C90" s="232"/>
      <c r="D90" s="232"/>
      <c r="E90" s="232"/>
      <c r="F90" s="232"/>
      <c r="G90" s="232"/>
      <c r="H90" s="232"/>
    </row>
    <row r="91" s="172" customFormat="1" ht="12" customHeight="1" spans="1:8">
      <c r="A91" s="232" t="s">
        <v>178</v>
      </c>
      <c r="B91" s="232"/>
      <c r="C91" s="232"/>
      <c r="D91" s="232"/>
      <c r="E91" s="232"/>
      <c r="F91" s="232"/>
      <c r="G91" s="232"/>
      <c r="H91" s="232"/>
    </row>
    <row r="92" s="172" customFormat="1" ht="12" customHeight="1" spans="1:8">
      <c r="A92" s="232" t="s">
        <v>179</v>
      </c>
      <c r="B92" s="232"/>
      <c r="C92" s="232"/>
      <c r="D92" s="232"/>
      <c r="E92" s="232"/>
      <c r="F92" s="232"/>
      <c r="G92" s="232"/>
      <c r="H92" s="232"/>
    </row>
    <row r="93" s="172" customFormat="1" ht="12" customHeight="1" spans="1:8">
      <c r="A93" s="232" t="s">
        <v>180</v>
      </c>
      <c r="B93" s="232"/>
      <c r="C93" s="232"/>
      <c r="D93" s="232"/>
      <c r="E93" s="232"/>
      <c r="F93" s="232"/>
      <c r="G93" s="232"/>
      <c r="H93" s="232"/>
    </row>
    <row r="94" s="172" customFormat="1" ht="12" customHeight="1" spans="1:8">
      <c r="A94" s="232" t="s">
        <v>181</v>
      </c>
      <c r="B94" s="232"/>
      <c r="C94" s="232"/>
      <c r="D94" s="232"/>
      <c r="E94" s="232"/>
      <c r="F94" s="232"/>
      <c r="G94" s="232"/>
      <c r="H94" s="232"/>
    </row>
    <row r="95" s="172" customFormat="1" ht="12" customHeight="1" spans="1:8">
      <c r="A95" s="232" t="s">
        <v>182</v>
      </c>
      <c r="B95" s="232"/>
      <c r="C95" s="232"/>
      <c r="D95" s="232"/>
      <c r="E95" s="232"/>
      <c r="F95" s="232"/>
      <c r="G95" s="232"/>
      <c r="H95" s="232"/>
    </row>
    <row r="96" s="172" customFormat="1" ht="12" customHeight="1" spans="1:8">
      <c r="A96" s="233" t="s">
        <v>183</v>
      </c>
      <c r="B96" s="234"/>
      <c r="C96" s="234"/>
      <c r="D96" s="234"/>
      <c r="E96" s="234"/>
      <c r="F96" s="234"/>
      <c r="G96" s="234"/>
      <c r="H96" s="234"/>
    </row>
    <row r="97" s="172" customFormat="1" ht="12" customHeight="1" spans="1:8">
      <c r="A97" s="232" t="s">
        <v>184</v>
      </c>
      <c r="B97" s="232"/>
      <c r="C97" s="232"/>
      <c r="D97" s="232"/>
      <c r="E97" s="232"/>
      <c r="F97" s="232"/>
      <c r="G97" s="232"/>
      <c r="H97" s="232"/>
    </row>
    <row r="98" s="172" customFormat="1" ht="12" customHeight="1" spans="1:8">
      <c r="A98" s="232" t="s">
        <v>185</v>
      </c>
      <c r="B98" s="232"/>
      <c r="C98" s="232"/>
      <c r="D98" s="232"/>
      <c r="E98" s="232"/>
      <c r="F98" s="232"/>
      <c r="G98" s="232"/>
      <c r="H98" s="232"/>
    </row>
    <row r="99" s="172" customFormat="1" ht="12" customHeight="1" spans="1:8">
      <c r="A99" s="232" t="s">
        <v>186</v>
      </c>
      <c r="B99" s="232"/>
      <c r="C99" s="232"/>
      <c r="D99" s="232"/>
      <c r="E99" s="232"/>
      <c r="F99" s="232"/>
      <c r="G99" s="232"/>
      <c r="H99" s="232"/>
    </row>
    <row r="100" s="172" customFormat="1" ht="12" customHeight="1" spans="1:8">
      <c r="A100" s="232" t="s">
        <v>187</v>
      </c>
      <c r="B100" s="232"/>
      <c r="C100" s="232"/>
      <c r="D100" s="232"/>
      <c r="E100" s="232"/>
      <c r="F100" s="232"/>
      <c r="G100" s="232"/>
      <c r="H100" s="232"/>
    </row>
    <row r="101" s="172" customFormat="1" ht="12" customHeight="1" spans="1:8">
      <c r="A101" s="232" t="s">
        <v>188</v>
      </c>
      <c r="B101" s="232"/>
      <c r="C101" s="232"/>
      <c r="D101" s="232"/>
      <c r="E101" s="232"/>
      <c r="F101" s="232"/>
      <c r="G101" s="232"/>
      <c r="H101" s="232"/>
    </row>
    <row r="102" s="172" customFormat="1" ht="12" customHeight="1" spans="1:8">
      <c r="A102" s="232" t="s">
        <v>189</v>
      </c>
      <c r="B102" s="232"/>
      <c r="C102" s="232"/>
      <c r="D102" s="232"/>
      <c r="E102" s="232"/>
      <c r="F102" s="232"/>
      <c r="G102" s="232"/>
      <c r="H102" s="232"/>
    </row>
    <row r="103" s="172" customFormat="1" ht="12" customHeight="1" spans="1:8">
      <c r="A103" s="232"/>
      <c r="B103" s="232"/>
      <c r="C103" s="232"/>
      <c r="D103" s="232"/>
      <c r="E103" s="232"/>
      <c r="F103" s="232"/>
      <c r="G103" s="232"/>
      <c r="H103" s="232"/>
    </row>
    <row r="104" s="172" customFormat="1" ht="12" customHeight="1" spans="1:8">
      <c r="A104" s="232"/>
      <c r="B104" s="232"/>
      <c r="C104" s="232"/>
      <c r="D104" s="232"/>
      <c r="E104" s="232"/>
      <c r="F104" s="232"/>
      <c r="G104" s="232"/>
      <c r="H104" s="232"/>
    </row>
  </sheetData>
  <mergeCells count="166">
    <mergeCell ref="A1:F1"/>
    <mergeCell ref="B4:D4"/>
    <mergeCell ref="E4:F4"/>
    <mergeCell ref="A15:H15"/>
    <mergeCell ref="A18:D18"/>
    <mergeCell ref="A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F73"/>
    <mergeCell ref="C74:F74"/>
    <mergeCell ref="C75:H75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B96:H96"/>
    <mergeCell ref="A97:H97"/>
    <mergeCell ref="A98:H98"/>
    <mergeCell ref="A99:H99"/>
    <mergeCell ref="A100:H100"/>
    <mergeCell ref="A101:H101"/>
    <mergeCell ref="A102:H102"/>
    <mergeCell ref="A2:A3"/>
    <mergeCell ref="A7:A8"/>
    <mergeCell ref="A9:A10"/>
    <mergeCell ref="A11:A12"/>
    <mergeCell ref="A13:A14"/>
    <mergeCell ref="G1:G2"/>
    <mergeCell ref="G3:G4"/>
    <mergeCell ref="G5:G6"/>
    <mergeCell ref="G7:G8"/>
    <mergeCell ref="G9:G10"/>
    <mergeCell ref="G11:G12"/>
    <mergeCell ref="G13:G14"/>
    <mergeCell ref="H1:H2"/>
    <mergeCell ref="H3:H4"/>
    <mergeCell ref="H5:H6"/>
    <mergeCell ref="H7:H8"/>
    <mergeCell ref="H9:H10"/>
    <mergeCell ref="H11:H12"/>
    <mergeCell ref="H13:H14"/>
    <mergeCell ref="E2:F3"/>
    <mergeCell ref="B13:F14"/>
    <mergeCell ref="B7:F8"/>
    <mergeCell ref="B9:F10"/>
    <mergeCell ref="B11:F12"/>
    <mergeCell ref="B2:D3"/>
    <mergeCell ref="A5:F6"/>
    <mergeCell ref="A16:H17"/>
    <mergeCell ref="A78:B79"/>
    <mergeCell ref="C78:D79"/>
    <mergeCell ref="E78:F79"/>
    <mergeCell ref="G78:H79"/>
    <mergeCell ref="A80:B81"/>
    <mergeCell ref="C80:D81"/>
    <mergeCell ref="E80:H81"/>
    <mergeCell ref="A76:B77"/>
    <mergeCell ref="C76:D77"/>
    <mergeCell ref="E76:F77"/>
    <mergeCell ref="G76:H77"/>
  </mergeCells>
  <pageMargins left="0.7" right="0.7" top="0.75" bottom="0.75" header="0.3" footer="0.3"/>
  <pageSetup paperSize="9" scale="8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1"/>
  <sheetViews>
    <sheetView zoomScale="70" zoomScaleNormal="70" workbookViewId="0">
      <selection activeCell="C60" sqref="C60"/>
    </sheetView>
  </sheetViews>
  <sheetFormatPr defaultColWidth="9" defaultRowHeight="17.25" outlineLevelCol="6"/>
  <cols>
    <col min="1" max="1" width="29.125" style="133" customWidth="1"/>
    <col min="2" max="2" width="21" style="133" customWidth="1"/>
    <col min="3" max="3" width="19.125" style="133" customWidth="1"/>
    <col min="4" max="6" width="19.625" style="133" customWidth="1"/>
    <col min="7" max="16384" width="9" style="133"/>
  </cols>
  <sheetData>
    <row r="1" ht="45.75" customHeight="1" spans="1:7">
      <c r="A1" s="134" t="str">
        <f>明细!G2</f>
        <v>上海福洺电子商务有限公司</v>
      </c>
      <c r="B1" s="134"/>
      <c r="C1" s="134"/>
      <c r="D1" s="134"/>
      <c r="E1" s="134"/>
      <c r="F1" s="134"/>
    </row>
    <row r="2" ht="45.75" customHeight="1" spans="1:7">
      <c r="A2" s="135">
        <f>明细!G3</f>
        <v>0</v>
      </c>
      <c r="B2" s="135"/>
      <c r="C2" s="135"/>
      <c r="D2" s="135"/>
      <c r="E2" s="135"/>
      <c r="F2" s="135"/>
    </row>
    <row r="3" ht="40" customHeight="1" spans="1:7">
      <c r="A3" s="136" t="s">
        <v>190</v>
      </c>
      <c r="B3" s="136"/>
      <c r="C3" s="136"/>
      <c r="D3" s="136"/>
      <c r="E3" s="136"/>
      <c r="F3" s="136"/>
    </row>
    <row r="4" ht="25.5" customHeight="1" spans="1:7">
      <c r="A4" s="137"/>
      <c r="B4" s="137"/>
      <c r="C4" s="137"/>
      <c r="D4" s="137"/>
      <c r="E4" s="137"/>
      <c r="F4" s="138"/>
    </row>
    <row r="5" s="130" customFormat="1" ht="24" customHeight="1" spans="1:7">
      <c r="A5" s="139" t="s">
        <v>191</v>
      </c>
      <c r="B5" s="140"/>
      <c r="C5" s="141"/>
      <c r="D5" s="139"/>
      <c r="E5" s="142" t="s">
        <v>127</v>
      </c>
      <c r="F5" s="143" t="str">
        <f>明细!G9</f>
        <v>HY26011821-1</v>
      </c>
    </row>
    <row r="6" s="130" customFormat="1" ht="24" customHeight="1" spans="1:7">
      <c r="A6" s="141" t="s">
        <v>128</v>
      </c>
      <c r="B6" s="144" t="str">
        <f>明细!A7</f>
        <v>Amazon.com Services, Inc.
</v>
      </c>
      <c r="C6" s="145"/>
      <c r="D6" s="139"/>
      <c r="E6" s="142" t="s">
        <v>129</v>
      </c>
      <c r="F6" s="146">
        <f>明细!G22</f>
        <v>46048</v>
      </c>
    </row>
    <row r="7" s="130" customFormat="1" ht="24" customHeight="1" spans="1:7">
      <c r="A7" s="139" t="s">
        <v>130</v>
      </c>
      <c r="B7" s="140" t="str">
        <f>明细!G13</f>
        <v>SHANGHAI</v>
      </c>
      <c r="C7" s="139"/>
      <c r="D7" s="139"/>
      <c r="E7" s="147" t="s">
        <v>131</v>
      </c>
      <c r="F7" s="143" t="str">
        <f>明细!G15</f>
        <v>美国</v>
      </c>
      <c r="G7" s="148"/>
    </row>
    <row r="8" s="130" customFormat="1" ht="38.25" customHeight="1" spans="1:7">
      <c r="A8" s="149" t="s">
        <v>132</v>
      </c>
      <c r="B8" s="149"/>
      <c r="C8" s="150" t="s">
        <v>192</v>
      </c>
      <c r="D8" s="151" t="s">
        <v>193</v>
      </c>
      <c r="E8" s="150" t="s">
        <v>194</v>
      </c>
      <c r="F8" s="151" t="s">
        <v>195</v>
      </c>
    </row>
    <row r="9" s="130" customFormat="1" ht="27" customHeight="1" spans="1:7">
      <c r="A9" s="152" t="str">
        <f>明细!B26</f>
        <v>SCREWS</v>
      </c>
      <c r="B9" s="153" t="str">
        <f>明细!C26</f>
        <v>螺钉</v>
      </c>
      <c r="C9" s="154">
        <f>明细!L26</f>
        <v>1</v>
      </c>
      <c r="D9" s="155">
        <f>明细!E26</f>
        <v>15.6</v>
      </c>
      <c r="E9" s="155">
        <f>明细!F26</f>
        <v>14.6</v>
      </c>
      <c r="F9" s="156">
        <f>明细!N26</f>
        <v>0.017024</v>
      </c>
      <c r="G9" s="130" t="str">
        <f>明细!Q26</f>
        <v>YS323</v>
      </c>
    </row>
    <row r="10" s="130" customFormat="1" ht="27" customHeight="1" spans="1:7">
      <c r="A10" s="152" t="str">
        <f>明细!B27</f>
        <v>SCREWS</v>
      </c>
      <c r="B10" s="153" t="str">
        <f>明细!C27</f>
        <v>螺钉</v>
      </c>
      <c r="C10" s="154">
        <f>明细!L27</f>
        <v>1</v>
      </c>
      <c r="D10" s="155">
        <f>明细!E27</f>
        <v>15.3</v>
      </c>
      <c r="E10" s="155">
        <f>明细!F27</f>
        <v>14.3</v>
      </c>
      <c r="F10" s="156">
        <f>明细!N27</f>
        <v>0.017024</v>
      </c>
      <c r="G10" s="130" t="str">
        <f>明细!Q27</f>
        <v>YS325</v>
      </c>
    </row>
    <row r="11" s="130" customFormat="1" ht="27" customHeight="1" spans="1:7">
      <c r="A11" s="152" t="str">
        <f>明细!B28</f>
        <v>SCREWS</v>
      </c>
      <c r="B11" s="153" t="str">
        <f>明细!C28</f>
        <v>螺钉</v>
      </c>
      <c r="C11" s="154">
        <f>明细!L28</f>
        <v>2</v>
      </c>
      <c r="D11" s="155">
        <f>明细!E28</f>
        <v>17.8</v>
      </c>
      <c r="E11" s="155">
        <f>明细!F28</f>
        <v>15.8</v>
      </c>
      <c r="F11" s="156">
        <f>明细!N28</f>
        <v>0.02088</v>
      </c>
      <c r="G11" s="130" t="str">
        <f>明细!Q28</f>
        <v>YS327</v>
      </c>
    </row>
    <row r="12" s="130" customFormat="1" ht="27" customHeight="1" spans="1:7">
      <c r="A12" s="152" t="str">
        <f>明细!B29</f>
        <v>SCREWS</v>
      </c>
      <c r="B12" s="153" t="str">
        <f>明细!C29</f>
        <v>螺钉</v>
      </c>
      <c r="C12" s="154">
        <f>明细!L29</f>
        <v>2</v>
      </c>
      <c r="D12" s="155">
        <f>明细!E29</f>
        <v>15.7</v>
      </c>
      <c r="E12" s="155">
        <f>明细!F29</f>
        <v>13.7</v>
      </c>
      <c r="F12" s="156">
        <f>明细!N29</f>
        <v>0.02184</v>
      </c>
      <c r="G12" s="130" t="str">
        <f>明细!Q29</f>
        <v>YS328</v>
      </c>
    </row>
    <row r="13" s="130" customFormat="1" ht="27" customHeight="1" spans="1:7">
      <c r="A13" s="152" t="str">
        <f>明细!B30</f>
        <v>SCREWS</v>
      </c>
      <c r="B13" s="153" t="str">
        <f>明细!C30</f>
        <v>螺钉</v>
      </c>
      <c r="C13" s="154">
        <f>明细!L30</f>
        <v>3</v>
      </c>
      <c r="D13" s="155">
        <f>明细!E30</f>
        <v>35.4</v>
      </c>
      <c r="E13" s="155">
        <f>明细!F30</f>
        <v>32.4</v>
      </c>
      <c r="F13" s="156">
        <f>明细!N30</f>
        <v>0.051072</v>
      </c>
      <c r="G13" s="130" t="str">
        <f>明细!Q30</f>
        <v>YS329</v>
      </c>
    </row>
    <row r="14" s="130" customFormat="1" ht="27" customHeight="1" spans="1:7">
      <c r="A14" s="152" t="str">
        <f>明细!B31</f>
        <v>SCREWS</v>
      </c>
      <c r="B14" s="153" t="str">
        <f>明细!C31</f>
        <v>螺钉</v>
      </c>
      <c r="C14" s="154">
        <f>明细!L31</f>
        <v>2</v>
      </c>
      <c r="D14" s="155">
        <f>明细!E31</f>
        <v>21.2</v>
      </c>
      <c r="E14" s="155">
        <f>明细!F31</f>
        <v>19.2</v>
      </c>
      <c r="F14" s="156">
        <f>明细!N31</f>
        <v>0.04786875</v>
      </c>
      <c r="G14" s="130" t="str">
        <f>明细!Q31</f>
        <v>YS145</v>
      </c>
    </row>
    <row r="15" s="130" customFormat="1" ht="27" customHeight="1" spans="1:7">
      <c r="A15" s="152" t="str">
        <f>明细!B32</f>
        <v>SCREWS</v>
      </c>
      <c r="B15" s="153" t="str">
        <f>明细!C32</f>
        <v>螺钉</v>
      </c>
      <c r="C15" s="154">
        <f>明细!L32</f>
        <v>1</v>
      </c>
      <c r="D15" s="155">
        <f>明细!E32</f>
        <v>14.5</v>
      </c>
      <c r="E15" s="155">
        <f>明细!F32</f>
        <v>13.5</v>
      </c>
      <c r="F15" s="156">
        <f>明细!N32</f>
        <v>0.014616</v>
      </c>
      <c r="G15" s="130" t="str">
        <f>明细!Q32</f>
        <v>YS161</v>
      </c>
    </row>
    <row r="16" s="130" customFormat="1" ht="27" customHeight="1" spans="1:7">
      <c r="A16" s="152" t="str">
        <f>明细!B33</f>
        <v>Railing bracket</v>
      </c>
      <c r="B16" s="153" t="str">
        <f>明细!C33</f>
        <v>栏杆支架</v>
      </c>
      <c r="C16" s="154">
        <f>明细!L33</f>
        <v>3</v>
      </c>
      <c r="D16" s="155">
        <f>明细!E33</f>
        <v>17.31</v>
      </c>
      <c r="E16" s="155">
        <f>明细!F33</f>
        <v>14.31</v>
      </c>
      <c r="F16" s="156">
        <f>明细!N33</f>
        <v>0.014322</v>
      </c>
      <c r="G16" s="130" t="str">
        <f>明细!Q33</f>
        <v>YS382</v>
      </c>
    </row>
    <row r="17" s="130" customFormat="1" ht="27" customHeight="1" spans="1:7">
      <c r="A17" s="152" t="str">
        <f>明细!B34</f>
        <v>Railing bracket</v>
      </c>
      <c r="B17" s="153" t="str">
        <f>明细!C34</f>
        <v>栏杆支架</v>
      </c>
      <c r="C17" s="154">
        <f>明细!L34</f>
        <v>1</v>
      </c>
      <c r="D17" s="155">
        <f>明细!E34</f>
        <v>12.7</v>
      </c>
      <c r="E17" s="155">
        <f>明细!F34</f>
        <v>11.7</v>
      </c>
      <c r="F17" s="156">
        <f>明细!N34</f>
        <v>0.019227</v>
      </c>
      <c r="G17" s="130" t="str">
        <f>明细!Q34</f>
        <v>YS125</v>
      </c>
    </row>
    <row r="18" s="130" customFormat="1" ht="27" customHeight="1" spans="1:7">
      <c r="A18" s="152" t="str">
        <f>明细!B35</f>
        <v>Railing bracket</v>
      </c>
      <c r="B18" s="153" t="str">
        <f>明细!C35</f>
        <v>栏杆支架</v>
      </c>
      <c r="C18" s="154">
        <f>明细!L35</f>
        <v>1</v>
      </c>
      <c r="D18" s="155">
        <f>明细!E35</f>
        <v>12.25</v>
      </c>
      <c r="E18" s="155">
        <f>明细!F35</f>
        <v>11.25</v>
      </c>
      <c r="F18" s="156">
        <f>明细!N35</f>
        <v>0.019227</v>
      </c>
      <c r="G18" s="130" t="str">
        <f>明细!Q35</f>
        <v>YS124</v>
      </c>
    </row>
    <row r="19" s="130" customFormat="1" ht="27" customHeight="1" spans="1:7">
      <c r="A19" s="152" t="str">
        <f>明细!B36</f>
        <v>Railing bracket</v>
      </c>
      <c r="B19" s="153" t="str">
        <f>明细!C36</f>
        <v>栏杆支架</v>
      </c>
      <c r="C19" s="154">
        <f>明细!L36</f>
        <v>4</v>
      </c>
      <c r="D19" s="155">
        <f>明细!E36</f>
        <v>15.44</v>
      </c>
      <c r="E19" s="155">
        <f>明细!F36</f>
        <v>11.44</v>
      </c>
      <c r="F19" s="156">
        <f>明细!N36</f>
        <v>0.013608</v>
      </c>
      <c r="G19" s="130" t="str">
        <f>明细!Q36</f>
        <v>YS381</v>
      </c>
    </row>
    <row r="20" s="131" customFormat="1" ht="27" customHeight="1" spans="1:7">
      <c r="A20" s="152" t="str">
        <f>明细!B37</f>
        <v>SCREWS</v>
      </c>
      <c r="B20" s="153" t="str">
        <f>明细!C37</f>
        <v>螺钉</v>
      </c>
      <c r="C20" s="154">
        <f>明细!L37</f>
        <v>2</v>
      </c>
      <c r="D20" s="155">
        <f>明细!E37</f>
        <v>29.6</v>
      </c>
      <c r="E20" s="155">
        <f>明细!F37</f>
        <v>27.6</v>
      </c>
      <c r="F20" s="156">
        <f>明细!N37</f>
        <v>0.07106</v>
      </c>
      <c r="G20" s="130" t="str">
        <f>明细!Q37</f>
        <v>YS356</v>
      </c>
    </row>
    <row r="21" s="131" customFormat="1" ht="27" customHeight="1" spans="1:7">
      <c r="A21" s="152" t="str">
        <f>明细!B38</f>
        <v>CONNECTOR BASE</v>
      </c>
      <c r="B21" s="153" t="str">
        <f>明细!C38</f>
        <v>不锈钢连接件底座</v>
      </c>
      <c r="C21" s="154">
        <f>明细!L38</f>
        <v>34</v>
      </c>
      <c r="D21" s="155">
        <f>明细!E38</f>
        <v>122.4</v>
      </c>
      <c r="E21" s="155">
        <f>明细!F38</f>
        <v>88.4</v>
      </c>
      <c r="F21" s="156">
        <f>明细!N38</f>
        <v>0.137632</v>
      </c>
      <c r="G21" s="130" t="str">
        <f>明细!Q38</f>
        <v>YS71</v>
      </c>
    </row>
    <row r="22" s="131" customFormat="1" ht="27" customHeight="1" spans="1:7">
      <c r="A22" s="152" t="str">
        <f>明细!B39</f>
        <v>CONNECTOR BASE</v>
      </c>
      <c r="B22" s="153" t="str">
        <f>明细!C39</f>
        <v>连接件底座</v>
      </c>
      <c r="C22" s="154">
        <f>明细!L39</f>
        <v>21</v>
      </c>
      <c r="D22" s="155">
        <f>明细!E39</f>
        <v>91.35</v>
      </c>
      <c r="E22" s="155">
        <f>明细!F39</f>
        <v>70.35</v>
      </c>
      <c r="F22" s="156">
        <f>明细!N39</f>
        <v>0.166698</v>
      </c>
      <c r="G22" s="130" t="str">
        <f>明细!Q39</f>
        <v>YS43</v>
      </c>
    </row>
    <row r="23" s="131" customFormat="1" ht="27" customHeight="1" spans="1:7">
      <c r="A23" s="152" t="str">
        <f>明细!B40</f>
        <v>CONNECTOR BASE</v>
      </c>
      <c r="B23" s="153" t="str">
        <f>明细!C40</f>
        <v>连接件底座</v>
      </c>
      <c r="C23" s="154">
        <f>明细!L40</f>
        <v>11</v>
      </c>
      <c r="D23" s="155">
        <f>明细!E40</f>
        <v>92.95</v>
      </c>
      <c r="E23" s="155">
        <f>明细!F40</f>
        <v>81.95</v>
      </c>
      <c r="F23" s="156">
        <f>明细!N40</f>
        <v>0.165528</v>
      </c>
      <c r="G23" s="130" t="str">
        <f>明细!Q40</f>
        <v>YS44</v>
      </c>
    </row>
    <row r="24" s="131" customFormat="1" ht="27" customHeight="1" spans="1:7">
      <c r="A24" s="152" t="str">
        <f>明细!B41</f>
        <v>CONNECTOR BASE</v>
      </c>
      <c r="B24" s="153" t="str">
        <f>明细!C41</f>
        <v>连接件底座</v>
      </c>
      <c r="C24" s="154">
        <f>明细!L41</f>
        <v>4</v>
      </c>
      <c r="D24" s="155">
        <f>明细!E41</f>
        <v>41.4</v>
      </c>
      <c r="E24" s="155">
        <f>明细!F41</f>
        <v>37.4</v>
      </c>
      <c r="F24" s="156">
        <f>明细!N41</f>
        <v>0.186147</v>
      </c>
      <c r="G24" s="130" t="str">
        <f>明细!Q41</f>
        <v>YS40</v>
      </c>
    </row>
    <row r="25" s="131" customFormat="1" ht="27" customHeight="1" spans="1:7">
      <c r="A25" s="152" t="str">
        <f>明细!B42</f>
        <v>CONNECTOR BASE</v>
      </c>
      <c r="B25" s="153" t="str">
        <f>明细!C42</f>
        <v>连接件底座</v>
      </c>
      <c r="C25" s="154">
        <f>明细!L42</f>
        <v>1</v>
      </c>
      <c r="D25" s="155">
        <f>明细!E42</f>
        <v>13.4</v>
      </c>
      <c r="E25" s="155">
        <f>明细!F42</f>
        <v>12.4</v>
      </c>
      <c r="F25" s="156">
        <f>明细!N42</f>
        <v>0.05544</v>
      </c>
      <c r="G25" s="130" t="str">
        <f>明细!Q42</f>
        <v>YS41</v>
      </c>
    </row>
    <row r="26" s="131" customFormat="1" ht="27" customHeight="1" spans="1:7">
      <c r="A26" s="152" t="str">
        <f>明细!B43</f>
        <v>CONNECTOR BASE</v>
      </c>
      <c r="B26" s="153" t="str">
        <f>明细!C43</f>
        <v>连接件底座</v>
      </c>
      <c r="C26" s="154">
        <f>明细!L43</f>
        <v>8</v>
      </c>
      <c r="D26" s="155">
        <f>明细!E43</f>
        <v>95.6</v>
      </c>
      <c r="E26" s="155">
        <f>明细!F43</f>
        <v>87.6</v>
      </c>
      <c r="F26" s="156">
        <f>明细!N43</f>
        <v>0.33152</v>
      </c>
      <c r="G26" s="130" t="str">
        <f>明细!Q43</f>
        <v>YS162</v>
      </c>
    </row>
    <row r="27" s="131" customFormat="1" ht="27" customHeight="1" spans="1:7">
      <c r="A27" s="152" t="str">
        <f>明细!B44</f>
        <v>CONNECTOR BASE</v>
      </c>
      <c r="B27" s="153" t="str">
        <f>明细!C44</f>
        <v>连接件底座</v>
      </c>
      <c r="C27" s="154">
        <f>明细!L44</f>
        <v>2</v>
      </c>
      <c r="D27" s="155">
        <f>明细!E44</f>
        <v>28.9</v>
      </c>
      <c r="E27" s="155">
        <f>明细!F44</f>
        <v>26.9</v>
      </c>
      <c r="F27" s="156">
        <f>明细!N44</f>
        <v>0.088</v>
      </c>
      <c r="G27" s="130" t="str">
        <f>明细!Q44</f>
        <v>YS42</v>
      </c>
    </row>
    <row r="28" s="131" customFormat="1" ht="27" customHeight="1" spans="1:7">
      <c r="A28" s="152" t="str">
        <f>明细!B45</f>
        <v>CONNECTOR BASE</v>
      </c>
      <c r="B28" s="153" t="str">
        <f>明细!C45</f>
        <v>连接件底座</v>
      </c>
      <c r="C28" s="154">
        <f>明细!L45</f>
        <v>39</v>
      </c>
      <c r="D28" s="155">
        <f>明细!E45</f>
        <v>153.27</v>
      </c>
      <c r="E28" s="155">
        <f>明细!F45</f>
        <v>114.27</v>
      </c>
      <c r="F28" s="156">
        <f>明细!N45</f>
        <v>0.323817</v>
      </c>
      <c r="G28" s="130" t="str">
        <f>明细!Q45</f>
        <v>YS205</v>
      </c>
    </row>
    <row r="29" s="131" customFormat="1" ht="27" customHeight="1" spans="1:7">
      <c r="A29" s="152" t="str">
        <f>明细!B46</f>
        <v>CONNECTOR BASE</v>
      </c>
      <c r="B29" s="153" t="str">
        <f>明细!C46</f>
        <v>不锈钢连接件底座</v>
      </c>
      <c r="C29" s="154">
        <f>明细!L46</f>
        <v>6</v>
      </c>
      <c r="D29" s="155">
        <f>明细!E46</f>
        <v>87.6</v>
      </c>
      <c r="E29" s="155">
        <f>明细!F46</f>
        <v>81.6</v>
      </c>
      <c r="F29" s="156">
        <f>明细!N46</f>
        <v>0.147</v>
      </c>
      <c r="G29" s="130" t="str">
        <f>明细!Q46</f>
        <v>YS73</v>
      </c>
    </row>
    <row r="30" s="131" customFormat="1" ht="27" customHeight="1" spans="1:7">
      <c r="A30" s="152" t="str">
        <f>明细!B47</f>
        <v>CONNECTOR BASE</v>
      </c>
      <c r="B30" s="153" t="str">
        <f>明细!C47</f>
        <v>连接件底座</v>
      </c>
      <c r="C30" s="154">
        <f>明细!L47</f>
        <v>14</v>
      </c>
      <c r="D30" s="155">
        <f>明细!E47</f>
        <v>94.08</v>
      </c>
      <c r="E30" s="155">
        <f>明细!F47</f>
        <v>80.08</v>
      </c>
      <c r="F30" s="156">
        <f>明细!N47</f>
        <v>0.1410255</v>
      </c>
      <c r="G30" s="130" t="str">
        <f>明细!Q47</f>
        <v>YS163</v>
      </c>
    </row>
    <row r="31" s="131" customFormat="1" ht="27" customHeight="1" spans="1:7">
      <c r="A31" s="152" t="str">
        <f>明细!B48</f>
        <v>CONNECTOR BASE</v>
      </c>
      <c r="B31" s="153" t="str">
        <f>明细!C48</f>
        <v>不锈钢连接件底座</v>
      </c>
      <c r="C31" s="154">
        <f>明细!L48</f>
        <v>9</v>
      </c>
      <c r="D31" s="155">
        <f>明细!E48</f>
        <v>16.2</v>
      </c>
      <c r="E31" s="155">
        <f>明细!F48</f>
        <v>7.2</v>
      </c>
      <c r="F31" s="156">
        <f>明细!N48</f>
        <v>0.036864</v>
      </c>
      <c r="G31" s="130" t="str">
        <f>明细!Q48</f>
        <v>YS278</v>
      </c>
    </row>
    <row r="32" s="131" customFormat="1" ht="27" customHeight="1" spans="1:7">
      <c r="A32" s="152" t="str">
        <f>明细!B49</f>
        <v>CONNECTOR BASE</v>
      </c>
      <c r="B32" s="153" t="str">
        <f>明细!C49</f>
        <v>不锈钢连接件底座</v>
      </c>
      <c r="C32" s="154">
        <f>明细!L49</f>
        <v>4</v>
      </c>
      <c r="D32" s="155">
        <f>明细!E49</f>
        <v>13.6</v>
      </c>
      <c r="E32" s="155">
        <f>明细!F49</f>
        <v>9.6</v>
      </c>
      <c r="F32" s="156">
        <f>明细!N49</f>
        <v>0.016896</v>
      </c>
      <c r="G32" s="130" t="str">
        <f>明细!Q49</f>
        <v>YS279</v>
      </c>
    </row>
    <row r="33" s="131" customFormat="1" ht="27" customHeight="1" spans="1:7">
      <c r="A33" s="152" t="str">
        <f>明细!B50</f>
        <v>CONNECTOR BASE</v>
      </c>
      <c r="B33" s="153" t="str">
        <f>明细!C50</f>
        <v>不锈钢连接件底座</v>
      </c>
      <c r="C33" s="154">
        <f>明细!L50</f>
        <v>3</v>
      </c>
      <c r="D33" s="155">
        <f>明细!E50</f>
        <v>20.55</v>
      </c>
      <c r="E33" s="155">
        <f>明细!F50</f>
        <v>17.55</v>
      </c>
      <c r="F33" s="156">
        <f>明细!N50</f>
        <v>0.023562</v>
      </c>
      <c r="G33" s="130" t="str">
        <f>明细!Q50</f>
        <v>YS280</v>
      </c>
    </row>
    <row r="34" s="131" customFormat="1" ht="27" customHeight="1" spans="1:7">
      <c r="A34" s="152" t="str">
        <f>明细!B51</f>
        <v>SCREWS</v>
      </c>
      <c r="B34" s="153" t="str">
        <f>明细!C51</f>
        <v>螺钉</v>
      </c>
      <c r="C34" s="154">
        <f>明细!L51</f>
        <v>2</v>
      </c>
      <c r="D34" s="155">
        <f>明细!E51</f>
        <v>37.4</v>
      </c>
      <c r="E34" s="155">
        <f>明细!F51</f>
        <v>35.4</v>
      </c>
      <c r="F34" s="156">
        <f>明细!N51</f>
        <v>0.053196</v>
      </c>
      <c r="G34" s="130" t="str">
        <f>明细!Q51</f>
        <v>YS545</v>
      </c>
    </row>
    <row r="35" s="131" customFormat="1" ht="27" customHeight="1" spans="1:7">
      <c r="A35" s="152" t="str">
        <f>明细!B52</f>
        <v>SCREWS</v>
      </c>
      <c r="B35" s="153" t="str">
        <f>明细!C52</f>
        <v>螺钉</v>
      </c>
      <c r="C35" s="154">
        <f>明细!L52</f>
        <v>2</v>
      </c>
      <c r="D35" s="155">
        <f>明细!E52</f>
        <v>25</v>
      </c>
      <c r="E35" s="155">
        <f>明细!F52</f>
        <v>23</v>
      </c>
      <c r="F35" s="156">
        <f>明细!N52</f>
        <v>0.02128</v>
      </c>
      <c r="G35" s="130" t="str">
        <f>明细!Q52</f>
        <v>YS317</v>
      </c>
    </row>
    <row r="36" s="131" customFormat="1" ht="27" customHeight="1" spans="1:7">
      <c r="A36" s="152" t="str">
        <f>明细!B53</f>
        <v>SCREWS</v>
      </c>
      <c r="B36" s="153" t="str">
        <f>明细!C53</f>
        <v>螺钉</v>
      </c>
      <c r="C36" s="154">
        <f>明细!L53</f>
        <v>2</v>
      </c>
      <c r="D36" s="155">
        <f>明细!E53</f>
        <v>24.76</v>
      </c>
      <c r="E36" s="155">
        <f>明细!F53</f>
        <v>22.76</v>
      </c>
      <c r="F36" s="156">
        <f>明细!N53</f>
        <v>0.0034048</v>
      </c>
      <c r="G36" s="130" t="str">
        <f>明细!Q53</f>
        <v>YS316</v>
      </c>
    </row>
    <row r="37" s="131" customFormat="1" ht="27" customHeight="1" spans="1:7">
      <c r="A37" s="152" t="str">
        <f>明细!B54</f>
        <v>SCREWS</v>
      </c>
      <c r="B37" s="153" t="str">
        <f>明细!C54</f>
        <v>螺钉</v>
      </c>
      <c r="C37" s="154">
        <f>明细!L54</f>
        <v>1</v>
      </c>
      <c r="D37" s="155">
        <f>明细!E54</f>
        <v>15</v>
      </c>
      <c r="E37" s="155">
        <f>明细!F54</f>
        <v>14</v>
      </c>
      <c r="F37" s="156">
        <f>明细!N54</f>
        <v>0.017024</v>
      </c>
      <c r="G37" s="130" t="str">
        <f>明细!Q54</f>
        <v>YS384</v>
      </c>
    </row>
    <row r="38" s="131" customFormat="1" ht="27" customHeight="1" spans="1:7">
      <c r="A38" s="152" t="str">
        <f>明细!B55</f>
        <v>SCREWS</v>
      </c>
      <c r="B38" s="153" t="str">
        <f>明细!C55</f>
        <v>螺钉</v>
      </c>
      <c r="C38" s="154">
        <f>明细!L55</f>
        <v>2</v>
      </c>
      <c r="D38" s="155">
        <f>明细!E55</f>
        <v>31.2</v>
      </c>
      <c r="E38" s="155">
        <f>明细!F55</f>
        <v>29.2</v>
      </c>
      <c r="F38" s="156">
        <f>明细!N55</f>
        <v>0.02088</v>
      </c>
      <c r="G38" s="130" t="str">
        <f>明细!Q55</f>
        <v>YS361</v>
      </c>
    </row>
    <row r="39" s="131" customFormat="1" ht="27" customHeight="1" spans="1:7">
      <c r="A39" s="152" t="str">
        <f>明细!B56</f>
        <v>SCREWS</v>
      </c>
      <c r="B39" s="153" t="str">
        <f>明细!C56</f>
        <v>螺钉</v>
      </c>
      <c r="C39" s="154">
        <f>明细!L56</f>
        <v>2</v>
      </c>
      <c r="D39" s="155">
        <f>明细!E56</f>
        <v>36</v>
      </c>
      <c r="E39" s="155">
        <f>明细!F56</f>
        <v>34</v>
      </c>
      <c r="F39" s="156">
        <f>明细!N56</f>
        <v>0.06555</v>
      </c>
      <c r="G39" s="130" t="str">
        <f>明细!Q56</f>
        <v>YS320</v>
      </c>
    </row>
    <row r="40" s="131" customFormat="1" ht="27" customHeight="1" spans="1:7">
      <c r="A40" s="152" t="str">
        <f>明细!B57</f>
        <v>SCREWS</v>
      </c>
      <c r="B40" s="153" t="str">
        <f>明细!C57</f>
        <v>螺钉</v>
      </c>
      <c r="C40" s="154">
        <f>明细!L57</f>
        <v>2</v>
      </c>
      <c r="D40" s="155">
        <f>明细!E57</f>
        <v>34</v>
      </c>
      <c r="E40" s="155">
        <f>明细!F57</f>
        <v>32</v>
      </c>
      <c r="F40" s="156">
        <f>明细!N57</f>
        <v>0.034048</v>
      </c>
      <c r="G40" s="130" t="str">
        <f>明细!Q57</f>
        <v>YS319</v>
      </c>
    </row>
    <row r="41" s="131" customFormat="1" ht="27" customHeight="1" spans="1:7">
      <c r="A41" s="152" t="str">
        <f>明细!B58</f>
        <v>SCREWS</v>
      </c>
      <c r="B41" s="153" t="str">
        <f>明细!C58</f>
        <v>螺钉</v>
      </c>
      <c r="C41" s="154">
        <f>明细!L58</f>
        <v>1</v>
      </c>
      <c r="D41" s="155">
        <f>明细!E58</f>
        <v>19.5</v>
      </c>
      <c r="E41" s="155">
        <f>明细!F58</f>
        <v>18.5</v>
      </c>
      <c r="F41" s="156">
        <f>明细!N58</f>
        <v>0.01392</v>
      </c>
      <c r="G41" s="130" t="str">
        <f>明细!Q58</f>
        <v>YS544</v>
      </c>
    </row>
    <row r="42" s="131" customFormat="1" ht="27" customHeight="1" spans="1:7">
      <c r="A42" s="152" t="str">
        <f>明细!B59</f>
        <v>SCREWS</v>
      </c>
      <c r="B42" s="153" t="str">
        <f>明细!C59</f>
        <v>螺钉</v>
      </c>
      <c r="C42" s="154">
        <f>明细!L59</f>
        <v>2</v>
      </c>
      <c r="D42" s="155">
        <f>明细!E59</f>
        <v>30.6</v>
      </c>
      <c r="E42" s="155">
        <f>明细!F59</f>
        <v>28.6</v>
      </c>
      <c r="F42" s="156">
        <f>明细!N59</f>
        <v>0.043056</v>
      </c>
      <c r="G42" s="130" t="str">
        <f>明细!Q59</f>
        <v>YS181</v>
      </c>
    </row>
    <row r="43" s="131" customFormat="1" ht="27" customHeight="1" spans="1:7">
      <c r="A43" s="152" t="str">
        <f>明细!B60</f>
        <v>SCREWS</v>
      </c>
      <c r="B43" s="153" t="str">
        <f>明细!C60</f>
        <v>螺钉</v>
      </c>
      <c r="C43" s="154">
        <f>明细!L60</f>
        <v>1</v>
      </c>
      <c r="D43" s="155">
        <f>明细!E60</f>
        <v>12.3</v>
      </c>
      <c r="E43" s="155">
        <f>明细!F60</f>
        <v>11.3</v>
      </c>
      <c r="F43" s="156">
        <f>明细!N60</f>
        <v>0.0228</v>
      </c>
      <c r="G43" s="130" t="str">
        <f>明细!Q60</f>
        <v>YS524</v>
      </c>
    </row>
    <row r="44" s="131" customFormat="1" ht="27" customHeight="1" spans="1:7">
      <c r="A44" s="152" t="str">
        <f>明细!B61</f>
        <v>SCREWS</v>
      </c>
      <c r="B44" s="153" t="str">
        <f>明细!C61</f>
        <v>螺钉</v>
      </c>
      <c r="C44" s="154">
        <f>明细!L61</f>
        <v>1</v>
      </c>
      <c r="D44" s="155">
        <f>明细!E61</f>
        <v>16.4</v>
      </c>
      <c r="E44" s="155">
        <f>明细!F61</f>
        <v>15.4</v>
      </c>
      <c r="F44" s="156">
        <f>明细!N61</f>
        <v>0.017024</v>
      </c>
      <c r="G44" s="130" t="str">
        <f>明细!Q61</f>
        <v>YS523</v>
      </c>
    </row>
    <row r="45" s="131" customFormat="1" ht="27" customHeight="1" spans="1:7">
      <c r="A45" s="152" t="str">
        <f>明细!B62</f>
        <v>SCREWS</v>
      </c>
      <c r="B45" s="153" t="str">
        <f>明细!C62</f>
        <v>螺钉</v>
      </c>
      <c r="C45" s="154">
        <f>明细!L62</f>
        <v>1</v>
      </c>
      <c r="D45" s="155">
        <f>明细!E62</f>
        <v>11</v>
      </c>
      <c r="E45" s="155">
        <f>明细!F62</f>
        <v>10</v>
      </c>
      <c r="F45" s="156">
        <f>明细!N62</f>
        <v>0.017024</v>
      </c>
      <c r="G45" s="130" t="str">
        <f>明细!Q62</f>
        <v>YS331</v>
      </c>
    </row>
    <row r="46" s="131" customFormat="1" ht="27" customHeight="1" spans="1:7">
      <c r="A46" s="152" t="str">
        <f>明细!B63</f>
        <v>SCREWS</v>
      </c>
      <c r="B46" s="153" t="str">
        <f>明细!C63</f>
        <v>螺钉</v>
      </c>
      <c r="C46" s="154">
        <f>明细!L63</f>
        <v>1</v>
      </c>
      <c r="D46" s="155">
        <f>明细!E63</f>
        <v>12.5</v>
      </c>
      <c r="E46" s="155">
        <f>明细!F63</f>
        <v>11.5</v>
      </c>
      <c r="F46" s="156">
        <f>明细!N63</f>
        <v>0.014616</v>
      </c>
      <c r="G46" s="130" t="str">
        <f>明细!Q63</f>
        <v>YS340</v>
      </c>
    </row>
    <row r="47" s="131" customFormat="1" ht="27" customHeight="1" spans="1:7">
      <c r="A47" s="152" t="str">
        <f>明细!B64</f>
        <v>SCREWS</v>
      </c>
      <c r="B47" s="153" t="str">
        <f>明细!C64</f>
        <v>螺钉</v>
      </c>
      <c r="C47" s="154">
        <f>明细!L64</f>
        <v>9</v>
      </c>
      <c r="D47" s="155">
        <f>明细!E64</f>
        <v>71.1</v>
      </c>
      <c r="E47" s="155">
        <f>明细!F64</f>
        <v>62.1</v>
      </c>
      <c r="F47" s="156">
        <f>明细!N64</f>
        <v>0.178794</v>
      </c>
      <c r="G47" s="130" t="str">
        <f>明细!Q64</f>
        <v>YS313</v>
      </c>
    </row>
    <row r="48" s="131" customFormat="1" ht="27" customHeight="1" spans="1:7">
      <c r="A48" s="152" t="str">
        <f>明细!B65</f>
        <v>SCREWS</v>
      </c>
      <c r="B48" s="153" t="str">
        <f>明细!C65</f>
        <v>螺钉</v>
      </c>
      <c r="C48" s="154">
        <f>明细!L65</f>
        <v>4</v>
      </c>
      <c r="D48" s="155">
        <f>明细!E65</f>
        <v>25.6</v>
      </c>
      <c r="E48" s="155">
        <f>明细!F65</f>
        <v>21.6</v>
      </c>
      <c r="F48" s="156">
        <f>明细!N65</f>
        <v>0.063492</v>
      </c>
      <c r="G48" s="130" t="str">
        <f>明细!Q65</f>
        <v>YS252</v>
      </c>
    </row>
    <row r="49" s="131" customFormat="1" ht="27" customHeight="1" spans="1:7">
      <c r="A49" s="152" t="str">
        <f>明细!B66</f>
        <v>SCREWS</v>
      </c>
      <c r="B49" s="153" t="str">
        <f>明细!C66</f>
        <v>螺钉</v>
      </c>
      <c r="C49" s="154">
        <f>明细!L66</f>
        <v>6</v>
      </c>
      <c r="D49" s="155">
        <f>明细!E66</f>
        <v>51</v>
      </c>
      <c r="E49" s="155">
        <f>明细!F66</f>
        <v>45</v>
      </c>
      <c r="F49" s="156">
        <f>明细!N66</f>
        <v>0.119196</v>
      </c>
      <c r="G49" s="130" t="str">
        <f>明细!Q66</f>
        <v>YS251</v>
      </c>
    </row>
    <row r="50" s="131" customFormat="1" ht="27" customHeight="1" spans="1:7">
      <c r="A50" s="152" t="str">
        <f>明细!B67</f>
        <v>SCREWS</v>
      </c>
      <c r="B50" s="153" t="str">
        <f>明细!C67</f>
        <v>螺钉</v>
      </c>
      <c r="C50" s="154">
        <f>明细!L67</f>
        <v>5</v>
      </c>
      <c r="D50" s="155">
        <f>明细!E67</f>
        <v>47.9</v>
      </c>
      <c r="E50" s="155">
        <f>明细!F67</f>
        <v>42.9</v>
      </c>
      <c r="F50" s="156">
        <f>明细!N67</f>
        <v>0.11868</v>
      </c>
      <c r="G50" s="130" t="str">
        <f>明细!Q67</f>
        <v>YS678</v>
      </c>
    </row>
    <row r="51" s="131" customFormat="1" ht="27" customHeight="1" spans="1:7">
      <c r="A51" s="152" t="str">
        <f>明细!B68</f>
        <v>SCREWS</v>
      </c>
      <c r="B51" s="153" t="str">
        <f>明细!C68</f>
        <v>螺钉</v>
      </c>
      <c r="C51" s="154">
        <f>明细!L68</f>
        <v>3</v>
      </c>
      <c r="D51" s="155">
        <f>明细!E68</f>
        <v>51.9</v>
      </c>
      <c r="E51" s="155">
        <f>明细!F68</f>
        <v>48.9</v>
      </c>
      <c r="F51" s="156">
        <f>明细!N68</f>
        <v>0.043848</v>
      </c>
      <c r="G51" s="130" t="str">
        <f>明细!Q68</f>
        <v>YS108</v>
      </c>
    </row>
    <row r="52" s="131" customFormat="1" ht="27" customHeight="1" spans="1:7">
      <c r="A52" s="152" t="str">
        <f>明细!B69</f>
        <v>SCREWS</v>
      </c>
      <c r="B52" s="153" t="str">
        <f>明细!C69</f>
        <v>螺钉</v>
      </c>
      <c r="C52" s="154">
        <f>明细!L69</f>
        <v>1</v>
      </c>
      <c r="D52" s="155">
        <f>明细!E69</f>
        <v>13.5</v>
      </c>
      <c r="E52" s="155">
        <f>明细!F69</f>
        <v>12.5</v>
      </c>
      <c r="F52" s="156">
        <f>明细!N69</f>
        <v>0.01288</v>
      </c>
      <c r="G52" s="130" t="str">
        <f>明细!Q69</f>
        <v>YS157</v>
      </c>
    </row>
    <row r="53" s="131" customFormat="1" ht="27" customHeight="1" spans="1:7">
      <c r="A53" s="152" t="str">
        <f>明细!B70</f>
        <v>SCREWS</v>
      </c>
      <c r="B53" s="153" t="str">
        <f>明细!C70</f>
        <v>螺钉</v>
      </c>
      <c r="C53" s="154">
        <f>明细!L70</f>
        <v>5</v>
      </c>
      <c r="D53" s="155">
        <f>明细!E70</f>
        <v>76</v>
      </c>
      <c r="E53" s="155">
        <f>明细!F70</f>
        <v>71</v>
      </c>
      <c r="F53" s="156">
        <f>明细!N70</f>
        <v>0.163875</v>
      </c>
      <c r="G53" s="130" t="str">
        <f>明细!Q70</f>
        <v>YS49</v>
      </c>
    </row>
    <row r="54" s="131" customFormat="1" ht="27" customHeight="1" spans="1:7">
      <c r="A54" s="152" t="str">
        <f>明细!B71</f>
        <v>SCREWS</v>
      </c>
      <c r="B54" s="153" t="str">
        <f>明细!C71</f>
        <v>螺钉</v>
      </c>
      <c r="C54" s="154">
        <f>明细!L71</f>
        <v>13</v>
      </c>
      <c r="D54" s="155">
        <f>明细!E71</f>
        <v>153.4</v>
      </c>
      <c r="E54" s="155">
        <f>明细!F71</f>
        <v>140.4</v>
      </c>
      <c r="F54" s="156">
        <f>明细!N71</f>
        <v>0.221312</v>
      </c>
      <c r="G54" s="130" t="str">
        <f>明细!Q71</f>
        <v>YS48</v>
      </c>
    </row>
    <row r="55" s="131" customFormat="1" ht="27" customHeight="1" spans="1:7">
      <c r="A55" s="152" t="str">
        <f>明细!B72</f>
        <v>SCREWS</v>
      </c>
      <c r="B55" s="153" t="str">
        <f>明细!C72</f>
        <v>螺钉</v>
      </c>
      <c r="C55" s="154">
        <f>明细!L72</f>
        <v>6</v>
      </c>
      <c r="D55" s="155">
        <f>明细!E72</f>
        <v>79.8</v>
      </c>
      <c r="E55" s="155">
        <f>明细!F72</f>
        <v>73.8</v>
      </c>
      <c r="F55" s="156">
        <f>明细!N72</f>
        <v>0.142416</v>
      </c>
      <c r="G55" s="130" t="str">
        <f>明细!Q72</f>
        <v>YS679</v>
      </c>
    </row>
    <row r="56" s="131" customFormat="1" ht="27" customHeight="1" spans="1:7">
      <c r="A56" s="152" t="str">
        <f>明细!B73</f>
        <v>SCREWS</v>
      </c>
      <c r="B56" s="153" t="str">
        <f>明细!C73</f>
        <v>螺钉</v>
      </c>
      <c r="C56" s="154">
        <f>明细!L73</f>
        <v>4</v>
      </c>
      <c r="D56" s="155">
        <f>明细!E73</f>
        <v>50</v>
      </c>
      <c r="E56" s="155">
        <f>明细!F73</f>
        <v>46</v>
      </c>
      <c r="F56" s="156">
        <f>明细!N73</f>
        <v>0.05568</v>
      </c>
      <c r="G56" s="130" t="str">
        <f>明细!Q73</f>
        <v>YS107</v>
      </c>
    </row>
    <row r="57" s="131" customFormat="1" ht="27" customHeight="1" spans="1:7">
      <c r="A57" s="152" t="str">
        <f>明细!B74</f>
        <v>SCREWS</v>
      </c>
      <c r="B57" s="153" t="str">
        <f>明细!C74</f>
        <v>螺钉</v>
      </c>
      <c r="C57" s="154">
        <f>明细!L74</f>
        <v>9</v>
      </c>
      <c r="D57" s="155">
        <f>明细!E74</f>
        <v>109.8</v>
      </c>
      <c r="E57" s="155">
        <f>明细!F74</f>
        <v>100.8</v>
      </c>
      <c r="F57" s="156">
        <f>明细!N74</f>
        <v>0.178794</v>
      </c>
      <c r="G57" s="130" t="str">
        <f>明细!Q74</f>
        <v>YS51</v>
      </c>
    </row>
    <row r="58" s="131" customFormat="1" ht="27" customHeight="1" spans="1:7">
      <c r="A58" s="152" t="str">
        <f>明细!B75</f>
        <v>SCREWS</v>
      </c>
      <c r="B58" s="153" t="str">
        <f>明细!C75</f>
        <v>螺钉</v>
      </c>
      <c r="C58" s="154">
        <f>明细!L75</f>
        <v>6</v>
      </c>
      <c r="D58" s="155">
        <f>明细!E75</f>
        <v>99</v>
      </c>
      <c r="E58" s="155">
        <f>明细!F75</f>
        <v>93</v>
      </c>
      <c r="F58" s="156">
        <f>明细!N75</f>
        <v>0.102144</v>
      </c>
      <c r="G58" s="130" t="str">
        <f>明细!Q75</f>
        <v>YS50</v>
      </c>
    </row>
    <row r="59" s="131" customFormat="1" ht="27" customHeight="1" spans="1:7">
      <c r="A59" s="152">
        <f>明细!B76</f>
        <v>0</v>
      </c>
      <c r="B59" s="153"/>
      <c r="C59" s="154"/>
      <c r="D59" s="155"/>
      <c r="E59" s="155"/>
      <c r="F59" s="156"/>
      <c r="G59" s="130"/>
    </row>
    <row r="60" s="131" customFormat="1" ht="27.95" customHeight="1" spans="1:7">
      <c r="A60" s="157" t="s">
        <v>136</v>
      </c>
      <c r="B60" s="158"/>
      <c r="C60" s="159">
        <f>SUM(C9:C59)</f>
        <v>270</v>
      </c>
      <c r="D60" s="160">
        <f>SUM(D9:D59)</f>
        <v>2228.76</v>
      </c>
      <c r="E60" s="160">
        <f>SUM(E9:E59)</f>
        <v>1958.76</v>
      </c>
      <c r="F60" s="161">
        <f>SUM(F9:F59)</f>
        <v>3.89283205</v>
      </c>
    </row>
    <row r="61" s="131" customFormat="1" ht="27.95" customHeight="1" spans="1:7">
      <c r="A61" s="162"/>
      <c r="C61" s="163"/>
      <c r="D61" s="163"/>
      <c r="E61" s="163"/>
      <c r="F61" s="164"/>
    </row>
    <row r="62" s="131" customFormat="1" ht="27.95" customHeight="1" spans="1:7">
      <c r="A62" s="162"/>
      <c r="B62" s="165"/>
      <c r="D62" s="163"/>
      <c r="E62" s="163"/>
      <c r="F62" s="164"/>
    </row>
    <row r="63" s="131" customFormat="1" ht="22.5" customHeight="1" spans="1:7">
      <c r="A63" s="166"/>
      <c r="D63" s="144"/>
      <c r="E63" s="167"/>
      <c r="F63" s="167"/>
    </row>
    <row r="64" s="131" customFormat="1" ht="21.75" customHeight="1" spans="1:7">
      <c r="A64" s="162"/>
      <c r="B64" s="162"/>
      <c r="C64" s="162"/>
      <c r="D64" s="166"/>
      <c r="E64" s="167"/>
      <c r="F64" s="167"/>
    </row>
    <row r="65" s="130" customFormat="1" ht="24.75" customHeight="1" spans="1:6">
      <c r="A65" s="168"/>
      <c r="B65" s="162"/>
      <c r="C65" s="162"/>
      <c r="D65" s="166"/>
      <c r="E65" s="169"/>
      <c r="F65" s="169"/>
    </row>
    <row r="66" s="130" customFormat="1" ht="27.75" customHeight="1" spans="1:6">
      <c r="A66" s="168"/>
      <c r="F66" s="169"/>
    </row>
    <row r="67" s="132" customFormat="1" ht="21.75" customHeight="1" spans="1:6">
      <c r="A67" s="168"/>
      <c r="B67" s="170"/>
      <c r="C67" s="170"/>
      <c r="D67" s="170"/>
      <c r="E67" s="170"/>
      <c r="F67" s="170"/>
    </row>
    <row r="68" s="132" customFormat="1" ht="21.75" customHeight="1" spans="1:6">
      <c r="A68" s="170"/>
      <c r="B68" s="170"/>
      <c r="C68" s="170"/>
      <c r="D68" s="170"/>
    </row>
    <row r="69" s="132" customFormat="1" ht="21.75" customHeight="1" spans="1:6">
      <c r="A69" s="170"/>
      <c r="B69" s="170"/>
      <c r="C69" s="170"/>
      <c r="E69" s="170"/>
      <c r="F69" s="170"/>
    </row>
    <row r="71" spans="1:6">
      <c r="D71" s="171"/>
    </row>
  </sheetData>
  <mergeCells count="3">
    <mergeCell ref="A1:F1"/>
    <mergeCell ref="A2:F2"/>
    <mergeCell ref="A3:F3"/>
  </mergeCells>
  <pageMargins left="0.41875" right="0.46875" top="0.229166666666667" bottom="0.159027777777778" header="0.159027777777778" footer="0.159027777777778"/>
  <pageSetup paperSize="9" scale="6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83"/>
  <sheetViews>
    <sheetView zoomScale="70" zoomScaleNormal="70" workbookViewId="0">
      <selection activeCell="A12" sqref="A12:C12"/>
    </sheetView>
  </sheetViews>
  <sheetFormatPr defaultColWidth="9" defaultRowHeight="14.25"/>
  <cols>
    <col min="1" max="1" width="16" style="10" customWidth="1"/>
    <col min="2" max="2" width="21.875" style="10" customWidth="1"/>
    <col min="3" max="3" width="28.75" style="10" customWidth="1"/>
    <col min="4" max="4" width="18.6666666666667" style="10" customWidth="1"/>
    <col min="5" max="5" width="15.1666666666667" style="10" customWidth="1"/>
    <col min="6" max="6" width="8.625" style="10" customWidth="1"/>
    <col min="7" max="7" width="23.5" style="10" customWidth="1"/>
    <col min="8" max="8" width="28.125" style="10" customWidth="1"/>
    <col min="9" max="9" width="29.375" style="10" customWidth="1"/>
    <col min="10" max="10" width="28.625" style="10" customWidth="1"/>
    <col min="11" max="11" width="25" style="10" customWidth="1"/>
    <col min="12" max="16384" width="9" style="10"/>
  </cols>
  <sheetData>
    <row r="1" ht="53.1" customHeight="1" spans="1:11">
      <c r="A1" s="11" t="s">
        <v>196</v>
      </c>
      <c r="B1" s="12"/>
      <c r="C1" s="13"/>
      <c r="D1" s="13"/>
      <c r="E1" s="13"/>
      <c r="F1" s="13"/>
      <c r="G1" s="13"/>
      <c r="H1" s="13"/>
      <c r="I1" s="13"/>
      <c r="J1" s="13"/>
      <c r="K1" s="14"/>
    </row>
    <row r="2" ht="24.95" customHeight="1" spans="1:11">
      <c r="A2" s="15" t="s">
        <v>197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="5" customFormat="1" ht="19.5" customHeight="1" spans="1:11">
      <c r="A3" s="18" t="s">
        <v>198</v>
      </c>
      <c r="B3" s="19" t="str">
        <f>明细!G4</f>
        <v>91310120MABY7LT67T</v>
      </c>
      <c r="C3" s="20"/>
      <c r="D3" s="21" t="s">
        <v>199</v>
      </c>
      <c r="E3" s="22"/>
      <c r="F3" s="23"/>
      <c r="G3" s="24" t="s">
        <v>200</v>
      </c>
      <c r="H3" s="24"/>
      <c r="I3" s="24" t="s">
        <v>201</v>
      </c>
      <c r="J3" s="24" t="s">
        <v>202</v>
      </c>
      <c r="K3" s="25"/>
    </row>
    <row r="4" s="5" customFormat="1" ht="24.95" customHeight="1" spans="1:11">
      <c r="A4" s="26" t="str">
        <f>明细!G2</f>
        <v>上海福洺电子商务有限公司</v>
      </c>
      <c r="B4" s="27"/>
      <c r="C4" s="28"/>
      <c r="D4" s="29"/>
      <c r="E4" s="30"/>
      <c r="F4" s="31"/>
      <c r="G4" s="32"/>
      <c r="H4" s="33"/>
      <c r="I4" s="34"/>
      <c r="J4" s="32"/>
      <c r="K4" s="35"/>
    </row>
    <row r="5" s="5" customFormat="1" ht="20.1" customHeight="1" spans="1:11">
      <c r="A5" s="36" t="s">
        <v>203</v>
      </c>
      <c r="B5" s="37"/>
      <c r="C5" s="37" t="s">
        <v>204</v>
      </c>
      <c r="D5" s="38" t="s">
        <v>205</v>
      </c>
      <c r="E5" s="39"/>
      <c r="F5" s="40"/>
      <c r="G5" s="24" t="s">
        <v>206</v>
      </c>
      <c r="H5" s="24"/>
      <c r="I5" s="24" t="s">
        <v>207</v>
      </c>
      <c r="J5" s="24"/>
      <c r="K5" s="25"/>
    </row>
    <row r="6" s="5" customFormat="1" ht="24.95" customHeight="1" spans="1:11">
      <c r="A6" s="41" t="str">
        <f>明细!A7</f>
        <v>Amazon.com Services, Inc.
</v>
      </c>
      <c r="B6" s="42"/>
      <c r="C6" s="43"/>
      <c r="D6" s="44" t="str">
        <f>明细!G11</f>
        <v>BY SEA</v>
      </c>
      <c r="E6" s="45"/>
      <c r="F6" s="46"/>
      <c r="G6" s="32"/>
      <c r="H6" s="33"/>
      <c r="I6" s="32"/>
      <c r="J6" s="47"/>
      <c r="K6" s="35"/>
    </row>
    <row r="7" s="5" customFormat="1" ht="20.1" customHeight="1" spans="1:11">
      <c r="A7" s="18" t="s">
        <v>208</v>
      </c>
      <c r="B7" s="19" t="str">
        <f>B3</f>
        <v>91310120MABY7LT67T</v>
      </c>
      <c r="C7" s="20"/>
      <c r="D7" s="38" t="s">
        <v>209</v>
      </c>
      <c r="E7" s="39"/>
      <c r="F7" s="40"/>
      <c r="G7" s="24" t="s">
        <v>210</v>
      </c>
      <c r="H7" s="24"/>
      <c r="I7" s="24" t="s">
        <v>211</v>
      </c>
      <c r="J7" s="24"/>
      <c r="K7" s="25"/>
    </row>
    <row r="8" s="5" customFormat="1" ht="24.95" customHeight="1" spans="1:11">
      <c r="A8" s="26" t="str">
        <f>A4</f>
        <v>上海福洺电子商务有限公司</v>
      </c>
      <c r="B8" s="27"/>
      <c r="C8" s="28"/>
      <c r="D8" s="44" t="s">
        <v>212</v>
      </c>
      <c r="E8" s="45"/>
      <c r="F8" s="46"/>
      <c r="G8" s="48"/>
      <c r="H8" s="49"/>
      <c r="I8" s="48"/>
      <c r="J8" s="50"/>
      <c r="K8" s="51"/>
    </row>
    <row r="9" s="5" customFormat="1" ht="20.1" customHeight="1" spans="1:11">
      <c r="A9" s="52" t="s">
        <v>213</v>
      </c>
      <c r="B9" s="24"/>
      <c r="C9" s="24" t="s">
        <v>204</v>
      </c>
      <c r="D9" s="38" t="s">
        <v>214</v>
      </c>
      <c r="E9" s="39"/>
      <c r="F9" s="40"/>
      <c r="G9" s="24" t="s">
        <v>215</v>
      </c>
      <c r="H9" s="24"/>
      <c r="I9" s="24" t="s">
        <v>216</v>
      </c>
      <c r="J9" s="53" t="s">
        <v>217</v>
      </c>
      <c r="K9" s="54"/>
    </row>
    <row r="10" s="5" customFormat="1" ht="24.95" customHeight="1" spans="1:11">
      <c r="A10" s="55" t="str">
        <f>明细!G9</f>
        <v>HY26011821-1</v>
      </c>
      <c r="B10" s="45"/>
      <c r="C10" s="46"/>
      <c r="D10" s="44" t="str">
        <f>明细!G14</f>
        <v>美国</v>
      </c>
      <c r="E10" s="45"/>
      <c r="F10" s="46"/>
      <c r="G10" s="44" t="str">
        <f>明细!G15</f>
        <v>美国</v>
      </c>
      <c r="H10" s="46"/>
      <c r="I10" s="56">
        <f>明细!G16</f>
        <v>0</v>
      </c>
      <c r="J10" s="57"/>
      <c r="K10" s="58"/>
    </row>
    <row r="11" s="5" customFormat="1" ht="20.1" customHeight="1" spans="1:11">
      <c r="A11" s="59" t="s">
        <v>218</v>
      </c>
      <c r="B11" s="60"/>
      <c r="C11" s="60"/>
      <c r="D11" s="24" t="s">
        <v>219</v>
      </c>
      <c r="E11" s="38" t="s">
        <v>220</v>
      </c>
      <c r="F11" s="40"/>
      <c r="G11" s="24" t="s">
        <v>221</v>
      </c>
      <c r="H11" s="24" t="s">
        <v>222</v>
      </c>
      <c r="I11" s="24" t="s">
        <v>223</v>
      </c>
      <c r="J11" s="61" t="s">
        <v>32</v>
      </c>
      <c r="K11" s="62" t="s">
        <v>224</v>
      </c>
    </row>
    <row r="12" s="5" customFormat="1" ht="24.95" customHeight="1" spans="1:11">
      <c r="A12" s="55" t="s">
        <v>225</v>
      </c>
      <c r="B12" s="45"/>
      <c r="C12" s="46"/>
      <c r="D12" s="56">
        <f>明细!L76</f>
        <v>270</v>
      </c>
      <c r="E12" s="44">
        <f>明细!E76</f>
        <v>2228.76</v>
      </c>
      <c r="F12" s="46"/>
      <c r="G12" s="56">
        <f>明细!F76</f>
        <v>1958.76</v>
      </c>
      <c r="H12" s="63" t="str">
        <f>明细!G17</f>
        <v>FOB</v>
      </c>
      <c r="I12" s="64">
        <f>明细!G19</f>
        <v>0</v>
      </c>
      <c r="J12" s="64"/>
      <c r="K12" s="65"/>
    </row>
    <row r="13" ht="35.1" customHeight="1" spans="1:11">
      <c r="A13" s="66" t="s">
        <v>226</v>
      </c>
      <c r="B13" s="67"/>
      <c r="C13" s="67"/>
      <c r="D13" s="67"/>
      <c r="E13" s="67"/>
      <c r="F13" s="67"/>
      <c r="G13" s="67"/>
      <c r="H13" s="67"/>
      <c r="I13" s="67"/>
      <c r="J13" s="67"/>
      <c r="K13" s="68"/>
    </row>
    <row r="14" ht="15" customHeight="1" spans="1:11">
      <c r="A14" s="69" t="s">
        <v>227</v>
      </c>
      <c r="B14" s="67"/>
      <c r="C14" s="67"/>
      <c r="D14" s="67"/>
      <c r="E14" s="67"/>
      <c r="F14" s="67"/>
      <c r="G14" s="67"/>
      <c r="H14" s="67"/>
      <c r="I14" s="67"/>
      <c r="J14" s="67"/>
      <c r="K14" s="68"/>
    </row>
    <row r="15" ht="20" customHeight="1" spans="1:11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8"/>
    </row>
    <row r="16" ht="59.1" customHeight="1" spans="1:11">
      <c r="A16" s="70" t="s">
        <v>228</v>
      </c>
      <c r="B16" s="71" t="s">
        <v>229</v>
      </c>
      <c r="C16" s="71" t="s">
        <v>230</v>
      </c>
      <c r="D16" s="72"/>
      <c r="E16" s="71" t="s">
        <v>231</v>
      </c>
      <c r="F16" s="72"/>
      <c r="G16" s="71" t="s">
        <v>232</v>
      </c>
      <c r="H16" s="71" t="s">
        <v>233</v>
      </c>
      <c r="I16" s="71" t="s">
        <v>234</v>
      </c>
      <c r="J16" s="71" t="s">
        <v>30</v>
      </c>
      <c r="K16" s="73" t="s">
        <v>235</v>
      </c>
    </row>
    <row r="17" s="6" customFormat="1" ht="24.95" customHeight="1" spans="1:12">
      <c r="A17" s="74">
        <f>明细!A26</f>
        <v>1</v>
      </c>
      <c r="B17" s="75">
        <f>明细!D26</f>
        <v>7318159090</v>
      </c>
      <c r="C17" s="76" t="str">
        <f>明细!C26</f>
        <v>螺钉</v>
      </c>
      <c r="D17" s="76"/>
      <c r="E17" s="77">
        <f>明细!I26</f>
        <v>16</v>
      </c>
      <c r="F17" s="78" t="str">
        <f>明细!J26</f>
        <v>套</v>
      </c>
      <c r="G17" s="78">
        <f>明细!G26</f>
        <v>6.22</v>
      </c>
      <c r="H17" s="76" t="s">
        <v>236</v>
      </c>
      <c r="I17" s="76" t="str">
        <f>明细!G14</f>
        <v>美国</v>
      </c>
      <c r="J17" s="76" t="str">
        <f>明细!P26</f>
        <v>上海奉贤</v>
      </c>
      <c r="K17" s="79" t="s">
        <v>237</v>
      </c>
      <c r="L17" s="6" t="str">
        <f>明细!Q26</f>
        <v>YS323</v>
      </c>
    </row>
    <row r="18" s="6" customFormat="1" ht="30" customHeight="1" spans="1:12">
      <c r="A18" s="80"/>
      <c r="B18" s="81"/>
      <c r="C18" s="81"/>
      <c r="D18" s="82"/>
      <c r="E18" s="83"/>
      <c r="F18" s="84"/>
      <c r="G18" s="85">
        <f>明细!H26</f>
        <v>99.52</v>
      </c>
      <c r="H18" s="82" t="s">
        <v>238</v>
      </c>
      <c r="I18" s="82"/>
      <c r="J18" s="82"/>
      <c r="K18" s="86"/>
    </row>
    <row r="19" s="6" customFormat="1" ht="24.95" customHeight="1" spans="1:12">
      <c r="A19" s="87"/>
      <c r="B19" s="88"/>
      <c r="C19" s="89"/>
      <c r="D19" s="89"/>
      <c r="E19" s="90"/>
      <c r="F19" s="91"/>
      <c r="G19" s="90" t="str">
        <f>明细!H21</f>
        <v>美元</v>
      </c>
      <c r="H19" s="91"/>
      <c r="I19" s="89"/>
      <c r="J19" s="89"/>
      <c r="K19" s="92"/>
    </row>
    <row r="20" ht="24.95" customHeight="1" spans="1:12">
      <c r="A20" s="74">
        <f>明细!A27</f>
        <v>2</v>
      </c>
      <c r="B20" s="75">
        <f>明细!D27</f>
        <v>7318159090</v>
      </c>
      <c r="C20" s="76" t="str">
        <f>明细!C27</f>
        <v>螺钉</v>
      </c>
      <c r="D20" s="76"/>
      <c r="E20" s="77">
        <f>明细!I27</f>
        <v>12</v>
      </c>
      <c r="F20" s="78" t="str">
        <f>明细!J27</f>
        <v>套</v>
      </c>
      <c r="G20" s="77">
        <f>明细!G27</f>
        <v>9.38</v>
      </c>
      <c r="H20" s="76" t="s">
        <v>236</v>
      </c>
      <c r="I20" s="76" t="str">
        <f>明细!G14</f>
        <v>美国</v>
      </c>
      <c r="J20" s="76" t="str">
        <f>明细!P27</f>
        <v>上海奉贤</v>
      </c>
      <c r="K20" s="79" t="s">
        <v>237</v>
      </c>
      <c r="L20" s="6" t="str">
        <f>明细!Q27</f>
        <v>YS325</v>
      </c>
    </row>
    <row r="21" ht="24.95" customHeight="1" spans="1:12">
      <c r="A21" s="80"/>
      <c r="B21" s="81"/>
      <c r="C21" s="82"/>
      <c r="D21" s="82"/>
      <c r="E21" s="83"/>
      <c r="F21" s="84"/>
      <c r="G21" s="93">
        <f>明细!H27</f>
        <v>112.56</v>
      </c>
      <c r="H21" s="82" t="s">
        <v>238</v>
      </c>
      <c r="I21" s="82"/>
      <c r="J21" s="82"/>
      <c r="K21" s="86"/>
    </row>
    <row r="22" ht="24.95" customHeight="1" spans="1:12">
      <c r="A22" s="87"/>
      <c r="B22" s="88"/>
      <c r="C22" s="89"/>
      <c r="D22" s="89"/>
      <c r="E22" s="90"/>
      <c r="F22" s="91"/>
      <c r="G22" s="90" t="str">
        <f>明细!H21</f>
        <v>美元</v>
      </c>
      <c r="H22" s="91"/>
      <c r="I22" s="89"/>
      <c r="J22" s="89"/>
      <c r="K22" s="92"/>
    </row>
    <row r="23" ht="24.95" customHeight="1" spans="1:12">
      <c r="A23" s="74">
        <f>明细!A28</f>
        <v>3</v>
      </c>
      <c r="B23" s="75">
        <f>明细!D28</f>
        <v>7318159090</v>
      </c>
      <c r="C23" s="76" t="str">
        <f>明细!C28</f>
        <v>螺钉</v>
      </c>
      <c r="D23" s="76"/>
      <c r="E23" s="77">
        <f>明细!I28</f>
        <v>12</v>
      </c>
      <c r="F23" s="78" t="str">
        <f>明细!J28</f>
        <v>套</v>
      </c>
      <c r="G23" s="94">
        <f>明细!G28</f>
        <v>10.68</v>
      </c>
      <c r="H23" s="76" t="s">
        <v>236</v>
      </c>
      <c r="I23" s="76" t="str">
        <f>明细!G14</f>
        <v>美国</v>
      </c>
      <c r="J23" s="76" t="str">
        <f>明细!P28</f>
        <v>上海奉贤</v>
      </c>
      <c r="K23" s="79" t="s">
        <v>237</v>
      </c>
      <c r="L23" s="6" t="str">
        <f>明细!Q28</f>
        <v>YS327</v>
      </c>
    </row>
    <row r="24" ht="24.95" customHeight="1" spans="1:12">
      <c r="A24" s="80"/>
      <c r="B24" s="81"/>
      <c r="C24" s="82"/>
      <c r="D24" s="82"/>
      <c r="E24" s="83"/>
      <c r="F24" s="84"/>
      <c r="G24" s="93">
        <f>明细!H28</f>
        <v>128.16</v>
      </c>
      <c r="H24" s="82" t="s">
        <v>238</v>
      </c>
      <c r="I24" s="82"/>
      <c r="J24" s="82"/>
      <c r="K24" s="86"/>
    </row>
    <row r="25" ht="24.95" customHeight="1" spans="1:12">
      <c r="A25" s="87"/>
      <c r="B25" s="88"/>
      <c r="C25" s="89"/>
      <c r="D25" s="89"/>
      <c r="E25" s="90"/>
      <c r="F25" s="91"/>
      <c r="G25" s="90" t="str">
        <f>明细!H21</f>
        <v>美元</v>
      </c>
      <c r="H25" s="91"/>
      <c r="I25" s="89"/>
      <c r="J25" s="89"/>
      <c r="K25" s="92"/>
    </row>
    <row r="26" ht="24.95" customHeight="1" spans="1:12">
      <c r="A26" s="74">
        <f>明细!A29</f>
        <v>4</v>
      </c>
      <c r="B26" s="75">
        <f>明细!D29</f>
        <v>7318159090</v>
      </c>
      <c r="C26" s="76" t="str">
        <f>明细!C29</f>
        <v>螺钉</v>
      </c>
      <c r="D26" s="76"/>
      <c r="E26" s="77">
        <f>明细!I29</f>
        <v>36</v>
      </c>
      <c r="F26" s="78" t="str">
        <f>明细!J29</f>
        <v>套</v>
      </c>
      <c r="G26" s="94">
        <f>明细!G29</f>
        <v>3.49</v>
      </c>
      <c r="H26" s="76" t="s">
        <v>236</v>
      </c>
      <c r="I26" s="76" t="str">
        <f>明细!G14</f>
        <v>美国</v>
      </c>
      <c r="J26" s="76" t="str">
        <f>明细!P29</f>
        <v>上海奉贤</v>
      </c>
      <c r="K26" s="79" t="s">
        <v>237</v>
      </c>
      <c r="L26" s="6" t="str">
        <f>明细!Q29</f>
        <v>YS328</v>
      </c>
    </row>
    <row r="27" ht="24.95" customHeight="1" spans="1:12">
      <c r="A27" s="80"/>
      <c r="B27" s="81"/>
      <c r="C27" s="82"/>
      <c r="D27" s="82"/>
      <c r="E27" s="83"/>
      <c r="F27" s="84"/>
      <c r="G27" s="93">
        <f>明细!H29</f>
        <v>125.64</v>
      </c>
      <c r="H27" s="82" t="s">
        <v>238</v>
      </c>
      <c r="I27" s="82"/>
      <c r="J27" s="82"/>
      <c r="K27" s="86"/>
    </row>
    <row r="28" ht="24.95" customHeight="1" spans="1:12">
      <c r="A28" s="87"/>
      <c r="B28" s="88"/>
      <c r="C28" s="89"/>
      <c r="D28" s="89"/>
      <c r="E28" s="90"/>
      <c r="F28" s="91"/>
      <c r="G28" s="90" t="str">
        <f>明细!H21</f>
        <v>美元</v>
      </c>
      <c r="H28" s="91"/>
      <c r="I28" s="89"/>
      <c r="J28" s="89"/>
      <c r="K28" s="92"/>
    </row>
    <row r="29" ht="24.95" customHeight="1" spans="1:12">
      <c r="A29" s="74">
        <f>明细!A30</f>
        <v>5</v>
      </c>
      <c r="B29" s="75">
        <f>明细!D30</f>
        <v>7318159090</v>
      </c>
      <c r="C29" s="76" t="str">
        <f>明细!C30</f>
        <v>螺钉</v>
      </c>
      <c r="D29" s="76"/>
      <c r="E29" s="77">
        <f>明细!I30</f>
        <v>36</v>
      </c>
      <c r="F29" s="78" t="str">
        <f>明细!J30</f>
        <v>套</v>
      </c>
      <c r="G29" s="94">
        <f>明细!G30</f>
        <v>7.52</v>
      </c>
      <c r="H29" s="76" t="s">
        <v>236</v>
      </c>
      <c r="I29" s="76" t="str">
        <f>明细!G14</f>
        <v>美国</v>
      </c>
      <c r="J29" s="76" t="str">
        <f>明细!P30</f>
        <v>上海奉贤</v>
      </c>
      <c r="K29" s="79" t="s">
        <v>237</v>
      </c>
      <c r="L29" s="6" t="str">
        <f>明细!Q30</f>
        <v>YS329</v>
      </c>
    </row>
    <row r="30" ht="24.95" customHeight="1" spans="1:12">
      <c r="A30" s="80"/>
      <c r="B30" s="81"/>
      <c r="C30" s="82"/>
      <c r="D30" s="82"/>
      <c r="E30" s="83"/>
      <c r="F30" s="84"/>
      <c r="G30" s="93">
        <f>明细!H30</f>
        <v>270.72</v>
      </c>
      <c r="H30" s="82" t="s">
        <v>238</v>
      </c>
      <c r="I30" s="82"/>
      <c r="J30" s="82"/>
      <c r="K30" s="86"/>
    </row>
    <row r="31" ht="24.95" customHeight="1" spans="1:12">
      <c r="A31" s="80"/>
      <c r="B31" s="81"/>
      <c r="C31" s="95"/>
      <c r="D31" s="95"/>
      <c r="E31" s="83"/>
      <c r="F31" s="84"/>
      <c r="G31" s="90" t="str">
        <f>明细!H21</f>
        <v>美元</v>
      </c>
      <c r="H31" s="82"/>
      <c r="I31" s="82"/>
      <c r="J31" s="82"/>
      <c r="K31" s="86"/>
    </row>
    <row r="32" ht="24.95" customHeight="1" spans="1:12">
      <c r="A32" s="74">
        <f>明细!A31</f>
        <v>6</v>
      </c>
      <c r="B32" s="75">
        <f>明细!D31</f>
        <v>7318159090</v>
      </c>
      <c r="C32" s="76" t="str">
        <f>明细!C31</f>
        <v>螺钉</v>
      </c>
      <c r="D32" s="76"/>
      <c r="E32" s="77">
        <f>明细!I31</f>
        <v>8</v>
      </c>
      <c r="F32" s="78" t="str">
        <f>明细!J31</f>
        <v>套</v>
      </c>
      <c r="G32" s="94">
        <f>明细!G31</f>
        <v>13.74</v>
      </c>
      <c r="H32" s="76" t="s">
        <v>236</v>
      </c>
      <c r="I32" s="76" t="str">
        <f>明细!G14</f>
        <v>美国</v>
      </c>
      <c r="J32" s="76" t="str">
        <f>明细!P31</f>
        <v>上海奉贤</v>
      </c>
      <c r="K32" s="79" t="s">
        <v>237</v>
      </c>
      <c r="L32" s="6" t="str">
        <f>明细!Q31</f>
        <v>YS145</v>
      </c>
    </row>
    <row r="33" ht="24.95" customHeight="1" spans="1:12">
      <c r="A33" s="80"/>
      <c r="B33" s="96"/>
      <c r="C33" s="16"/>
      <c r="D33" s="16"/>
      <c r="E33" s="97"/>
      <c r="F33" s="97"/>
      <c r="G33" s="93">
        <f>明细!H31</f>
        <v>109.92</v>
      </c>
      <c r="H33" s="82" t="s">
        <v>238</v>
      </c>
      <c r="I33" s="82"/>
      <c r="J33" s="98"/>
      <c r="K33" s="99"/>
    </row>
    <row r="34" ht="24.95" customHeight="1" spans="1:12">
      <c r="A34" s="80"/>
      <c r="B34" s="96"/>
      <c r="C34" s="7"/>
      <c r="D34" s="7"/>
      <c r="E34" s="97"/>
      <c r="F34" s="97"/>
      <c r="G34" s="90" t="str">
        <f>明细!H21</f>
        <v>美元</v>
      </c>
      <c r="H34" s="82"/>
      <c r="I34" s="82"/>
      <c r="J34" s="98"/>
      <c r="K34" s="99"/>
    </row>
    <row r="35" ht="24.95" customHeight="1" spans="1:12">
      <c r="A35" s="74">
        <f>明细!A32</f>
        <v>7</v>
      </c>
      <c r="B35" s="75">
        <f>明细!D32</f>
        <v>7318159090</v>
      </c>
      <c r="C35" s="76" t="str">
        <f>明细!C32</f>
        <v>螺钉</v>
      </c>
      <c r="D35" s="76"/>
      <c r="E35" s="77">
        <f>明细!I32</f>
        <v>12</v>
      </c>
      <c r="F35" s="78" t="str">
        <f>明细!J32</f>
        <v>套</v>
      </c>
      <c r="G35" s="94">
        <f>明细!G32</f>
        <v>7.99</v>
      </c>
      <c r="H35" s="76" t="s">
        <v>236</v>
      </c>
      <c r="I35" s="76" t="str">
        <f>明细!G14</f>
        <v>美国</v>
      </c>
      <c r="J35" s="76" t="str">
        <f>明细!P32</f>
        <v>上海奉贤</v>
      </c>
      <c r="K35" s="79" t="s">
        <v>237</v>
      </c>
      <c r="L35" s="6" t="str">
        <f>明细!Q32</f>
        <v>YS161</v>
      </c>
    </row>
    <row r="36" ht="24.95" customHeight="1" spans="1:12">
      <c r="A36" s="80"/>
      <c r="B36" s="96"/>
      <c r="C36" s="16"/>
      <c r="D36" s="16"/>
      <c r="E36" s="97"/>
      <c r="F36" s="97"/>
      <c r="G36" s="93">
        <f>明细!H32</f>
        <v>95.88</v>
      </c>
      <c r="H36" s="82" t="s">
        <v>238</v>
      </c>
      <c r="I36" s="82"/>
      <c r="J36" s="98"/>
      <c r="K36" s="99"/>
    </row>
    <row r="37" ht="24.95" customHeight="1" spans="1:12">
      <c r="A37" s="80"/>
      <c r="B37" s="96"/>
      <c r="C37" s="7"/>
      <c r="D37" s="7"/>
      <c r="E37" s="97"/>
      <c r="F37" s="97"/>
      <c r="G37" s="90" t="str">
        <f>明细!H21</f>
        <v>美元</v>
      </c>
      <c r="H37" s="82"/>
      <c r="I37" s="82"/>
      <c r="J37" s="98"/>
      <c r="K37" s="99"/>
    </row>
    <row r="38" ht="24.95" customHeight="1" spans="1:12">
      <c r="A38" s="74">
        <f>明细!A33</f>
        <v>8</v>
      </c>
      <c r="B38" s="75">
        <f>明细!D33</f>
        <v>7326909000</v>
      </c>
      <c r="C38" s="76" t="str">
        <f>明细!C33</f>
        <v>栏杆支架</v>
      </c>
      <c r="D38" s="76"/>
      <c r="E38" s="77">
        <f>明细!I33</f>
        <v>3</v>
      </c>
      <c r="F38" s="78" t="str">
        <f>明细!J33</f>
        <v>套</v>
      </c>
      <c r="G38" s="94">
        <f>明细!G33</f>
        <v>30.09</v>
      </c>
      <c r="H38" s="76" t="s">
        <v>236</v>
      </c>
      <c r="I38" s="76" t="str">
        <f>明细!G14</f>
        <v>美国</v>
      </c>
      <c r="J38" s="76" t="str">
        <f>明细!P33</f>
        <v>江苏盐城</v>
      </c>
      <c r="K38" s="79" t="s">
        <v>237</v>
      </c>
      <c r="L38" s="6" t="str">
        <f>明细!Q33</f>
        <v>YS382</v>
      </c>
    </row>
    <row r="39" ht="24.95" customHeight="1" spans="1:12">
      <c r="A39" s="80"/>
      <c r="B39" s="96"/>
      <c r="C39" s="16"/>
      <c r="D39" s="16"/>
      <c r="E39" s="97"/>
      <c r="F39" s="97"/>
      <c r="G39" s="93">
        <f>明细!H33</f>
        <v>90.27</v>
      </c>
      <c r="H39" s="82" t="s">
        <v>238</v>
      </c>
      <c r="I39" s="82"/>
      <c r="J39" s="98"/>
      <c r="K39" s="99"/>
    </row>
    <row r="40" ht="24.95" customHeight="1" spans="1:12">
      <c r="A40" s="80"/>
      <c r="B40" s="96"/>
      <c r="C40" s="7"/>
      <c r="D40" s="7"/>
      <c r="E40" s="97"/>
      <c r="F40" s="97"/>
      <c r="G40" s="90" t="str">
        <f>明细!H21</f>
        <v>美元</v>
      </c>
      <c r="H40" s="82"/>
      <c r="I40" s="82"/>
      <c r="J40" s="98"/>
      <c r="K40" s="99"/>
    </row>
    <row r="41" ht="24.95" customHeight="1" spans="1:12">
      <c r="A41" s="74">
        <f>明细!A34</f>
        <v>9</v>
      </c>
      <c r="B41" s="75">
        <f>明细!D34</f>
        <v>7326909000</v>
      </c>
      <c r="C41" s="76" t="str">
        <f>明细!C34</f>
        <v>栏杆支架</v>
      </c>
      <c r="D41" s="76"/>
      <c r="E41" s="77">
        <f>明细!I34</f>
        <v>12</v>
      </c>
      <c r="F41" s="78" t="str">
        <f>明细!J34</f>
        <v>套</v>
      </c>
      <c r="G41" s="94">
        <f>明细!G34</f>
        <v>5.01</v>
      </c>
      <c r="H41" s="76" t="s">
        <v>236</v>
      </c>
      <c r="I41" s="76" t="str">
        <f>明细!G14</f>
        <v>美国</v>
      </c>
      <c r="J41" s="76" t="str">
        <f>明细!P34</f>
        <v>江苏盐城</v>
      </c>
      <c r="K41" s="79" t="s">
        <v>237</v>
      </c>
      <c r="L41" s="6" t="str">
        <f>明细!Q34</f>
        <v>YS125</v>
      </c>
    </row>
    <row r="42" ht="24.95" customHeight="1" spans="1:12">
      <c r="A42" s="80"/>
      <c r="B42" s="96"/>
      <c r="C42" s="16"/>
      <c r="D42" s="16"/>
      <c r="E42" s="97"/>
      <c r="F42" s="97"/>
      <c r="G42" s="93">
        <f>明细!H34</f>
        <v>60.12</v>
      </c>
      <c r="H42" s="82" t="s">
        <v>238</v>
      </c>
      <c r="I42" s="82"/>
      <c r="J42" s="98"/>
      <c r="K42" s="99"/>
    </row>
    <row r="43" ht="24.95" customHeight="1" spans="1:12">
      <c r="A43" s="80"/>
      <c r="B43" s="96"/>
      <c r="C43" s="7"/>
      <c r="D43" s="7"/>
      <c r="E43" s="97"/>
      <c r="F43" s="97"/>
      <c r="G43" s="90" t="str">
        <f>明细!H21</f>
        <v>美元</v>
      </c>
      <c r="H43" s="82"/>
      <c r="I43" s="82"/>
      <c r="J43" s="98"/>
      <c r="K43" s="99"/>
    </row>
    <row r="44" ht="24.95" customHeight="1" spans="1:12">
      <c r="A44" s="74">
        <f>明细!A35</f>
        <v>10</v>
      </c>
      <c r="B44" s="75">
        <f>明细!D35</f>
        <v>7326909000</v>
      </c>
      <c r="C44" s="76" t="str">
        <f>明细!C35</f>
        <v>栏杆支架</v>
      </c>
      <c r="D44" s="76"/>
      <c r="E44" s="77">
        <f>明细!I35</f>
        <v>6</v>
      </c>
      <c r="F44" s="78" t="str">
        <f>明细!J35</f>
        <v>套</v>
      </c>
      <c r="G44" s="94">
        <f>明细!G35</f>
        <v>10.03</v>
      </c>
      <c r="H44" s="76" t="s">
        <v>236</v>
      </c>
      <c r="I44" s="76" t="str">
        <f>明细!G14</f>
        <v>美国</v>
      </c>
      <c r="J44" s="76" t="str">
        <f>明细!P35</f>
        <v>江苏盐城</v>
      </c>
      <c r="K44" s="79" t="s">
        <v>237</v>
      </c>
      <c r="L44" s="6" t="str">
        <f>明细!Q35</f>
        <v>YS124</v>
      </c>
    </row>
    <row r="45" ht="24.95" customHeight="1" spans="1:12">
      <c r="A45" s="80"/>
      <c r="B45" s="96"/>
      <c r="C45" s="16"/>
      <c r="D45" s="16"/>
      <c r="E45" s="97"/>
      <c r="F45" s="97"/>
      <c r="G45" s="93">
        <f>明细!H35</f>
        <v>60.18</v>
      </c>
      <c r="H45" s="82" t="s">
        <v>238</v>
      </c>
      <c r="I45" s="82"/>
      <c r="J45" s="98"/>
      <c r="K45" s="99"/>
    </row>
    <row r="46" ht="24.95" customHeight="1" spans="1:12">
      <c r="A46" s="80"/>
      <c r="B46" s="96"/>
      <c r="C46" s="7"/>
      <c r="D46" s="7"/>
      <c r="E46" s="97"/>
      <c r="F46" s="97"/>
      <c r="G46" s="90" t="str">
        <f>明细!H21</f>
        <v>美元</v>
      </c>
      <c r="H46" s="82"/>
      <c r="I46" s="82"/>
      <c r="J46" s="98"/>
      <c r="K46" s="99"/>
    </row>
    <row r="47" ht="24.95" customHeight="1" spans="1:12">
      <c r="A47" s="74">
        <f>明细!A36</f>
        <v>11</v>
      </c>
      <c r="B47" s="75">
        <f>明细!D36</f>
        <v>7326909000</v>
      </c>
      <c r="C47" s="76" t="str">
        <f>明细!C36</f>
        <v>栏杆支架</v>
      </c>
      <c r="D47" s="76"/>
      <c r="E47" s="77">
        <f>明细!I36</f>
        <v>4</v>
      </c>
      <c r="F47" s="78" t="str">
        <f>明细!J36</f>
        <v>套</v>
      </c>
      <c r="G47" s="94">
        <f>明细!G36</f>
        <v>20.06</v>
      </c>
      <c r="H47" s="76" t="s">
        <v>236</v>
      </c>
      <c r="I47" s="76" t="str">
        <f>明细!G14</f>
        <v>美国</v>
      </c>
      <c r="J47" s="76" t="str">
        <f>明细!P36</f>
        <v>江苏盐城</v>
      </c>
      <c r="K47" s="79" t="s">
        <v>237</v>
      </c>
      <c r="L47" s="6" t="str">
        <f>明细!Q36</f>
        <v>YS381</v>
      </c>
    </row>
    <row r="48" ht="24.95" customHeight="1" spans="1:12">
      <c r="A48" s="80"/>
      <c r="B48" s="96"/>
      <c r="C48" s="16"/>
      <c r="D48" s="16"/>
      <c r="E48" s="97"/>
      <c r="F48" s="97"/>
      <c r="G48" s="93">
        <f>明细!H36</f>
        <v>80.24</v>
      </c>
      <c r="H48" s="82" t="s">
        <v>238</v>
      </c>
      <c r="I48" s="82"/>
      <c r="J48" s="98"/>
      <c r="K48" s="99"/>
    </row>
    <row r="49" ht="24.95" customHeight="1" spans="1:12">
      <c r="A49" s="80"/>
      <c r="B49" s="96"/>
      <c r="C49" s="7"/>
      <c r="D49" s="7"/>
      <c r="E49" s="97"/>
      <c r="F49" s="97"/>
      <c r="G49" s="90" t="str">
        <f>明细!H21</f>
        <v>美元</v>
      </c>
      <c r="H49" s="82"/>
      <c r="I49" s="82"/>
      <c r="J49" s="98"/>
      <c r="K49" s="99"/>
    </row>
    <row r="50" ht="24.95" customHeight="1" spans="1:12">
      <c r="A50" s="74">
        <f>明细!A37</f>
        <v>12</v>
      </c>
      <c r="B50" s="75">
        <f>明细!D37</f>
        <v>7318159090</v>
      </c>
      <c r="C50" s="76" t="str">
        <f>明细!C37</f>
        <v>螺钉</v>
      </c>
      <c r="D50" s="76"/>
      <c r="E50" s="77">
        <f>明细!I37</f>
        <v>12</v>
      </c>
      <c r="F50" s="78" t="str">
        <f>明细!J37</f>
        <v>套</v>
      </c>
      <c r="G50" s="94">
        <f>明细!G37</f>
        <v>11.11</v>
      </c>
      <c r="H50" s="76" t="str">
        <f t="shared" ref="H50:H54" si="0">H47</f>
        <v>中国</v>
      </c>
      <c r="I50" s="76" t="str">
        <f>明细!G14</f>
        <v>美国</v>
      </c>
      <c r="J50" s="76" t="str">
        <f>明细!P37</f>
        <v>河北邯郸</v>
      </c>
      <c r="K50" s="79" t="s">
        <v>237</v>
      </c>
      <c r="L50" s="6" t="str">
        <f>明细!Q37</f>
        <v>YS356</v>
      </c>
    </row>
    <row r="51" ht="24.95" customHeight="1" spans="1:12">
      <c r="A51" s="80"/>
      <c r="B51" s="96"/>
      <c r="C51" s="16"/>
      <c r="D51" s="16"/>
      <c r="E51" s="97"/>
      <c r="F51" s="97"/>
      <c r="G51" s="93">
        <f>明细!H37</f>
        <v>133.32</v>
      </c>
      <c r="H51" s="82" t="str">
        <f t="shared" si="0"/>
        <v>(CHN)</v>
      </c>
      <c r="I51" s="82"/>
      <c r="J51" s="98"/>
      <c r="K51" s="99"/>
    </row>
    <row r="52" ht="24.95" customHeight="1" spans="1:12">
      <c r="A52" s="80"/>
      <c r="B52" s="96"/>
      <c r="C52" s="7"/>
      <c r="D52" s="7"/>
      <c r="E52" s="97"/>
      <c r="F52" s="97"/>
      <c r="G52" s="90" t="str">
        <f>明细!H21</f>
        <v>美元</v>
      </c>
      <c r="H52" s="82"/>
      <c r="I52" s="82"/>
      <c r="J52" s="98"/>
      <c r="K52" s="99"/>
    </row>
    <row r="53" ht="24.95" customHeight="1" spans="1:12">
      <c r="A53" s="74">
        <f>明细!A38</f>
        <v>13</v>
      </c>
      <c r="B53" s="75">
        <f>明细!D38</f>
        <v>8302420000</v>
      </c>
      <c r="C53" s="76" t="str">
        <f>明细!C38</f>
        <v>不锈钢连接件底座</v>
      </c>
      <c r="D53" s="76"/>
      <c r="E53" s="77">
        <f>明细!I38</f>
        <v>34</v>
      </c>
      <c r="F53" s="78" t="str">
        <f>明细!J38</f>
        <v>套</v>
      </c>
      <c r="G53" s="94">
        <f>明细!G38</f>
        <v>13</v>
      </c>
      <c r="H53" s="76" t="str">
        <f t="shared" si="0"/>
        <v>中国</v>
      </c>
      <c r="I53" s="76" t="str">
        <f>明细!G14</f>
        <v>美国</v>
      </c>
      <c r="J53" s="76" t="str">
        <f>明细!P38</f>
        <v>上海市奉贤区</v>
      </c>
      <c r="K53" s="79" t="s">
        <v>237</v>
      </c>
      <c r="L53" s="6" t="str">
        <f>明细!Q38</f>
        <v>YS71</v>
      </c>
    </row>
    <row r="54" ht="24.95" customHeight="1" spans="1:12">
      <c r="A54" s="80"/>
      <c r="B54" s="96"/>
      <c r="C54" s="16"/>
      <c r="D54" s="16"/>
      <c r="E54" s="97"/>
      <c r="F54" s="97"/>
      <c r="G54" s="93">
        <f>明细!H38</f>
        <v>442</v>
      </c>
      <c r="H54" s="82" t="str">
        <f t="shared" si="0"/>
        <v>(CHN)</v>
      </c>
      <c r="I54" s="82"/>
      <c r="J54" s="98"/>
      <c r="K54" s="99"/>
    </row>
    <row r="55" ht="24.95" customHeight="1" spans="1:12">
      <c r="A55" s="80"/>
      <c r="B55" s="96"/>
      <c r="C55" s="7"/>
      <c r="D55" s="7"/>
      <c r="E55" s="97"/>
      <c r="F55" s="97"/>
      <c r="G55" s="90" t="str">
        <f>明细!H21</f>
        <v>美元</v>
      </c>
      <c r="H55" s="82"/>
      <c r="I55" s="82"/>
      <c r="J55" s="98"/>
      <c r="K55" s="99"/>
    </row>
    <row r="56" ht="24.95" customHeight="1" spans="1:12">
      <c r="A56" s="74">
        <f>明细!A39</f>
        <v>14</v>
      </c>
      <c r="B56" s="75">
        <f>明细!D39</f>
        <v>8302420000</v>
      </c>
      <c r="C56" s="76" t="str">
        <f>明细!C39</f>
        <v>连接件底座</v>
      </c>
      <c r="D56" s="76"/>
      <c r="E56" s="77">
        <f>明细!I39</f>
        <v>21</v>
      </c>
      <c r="F56" s="78" t="str">
        <f>明细!J39</f>
        <v>套</v>
      </c>
      <c r="G56" s="94">
        <f>明细!G39</f>
        <v>16.21</v>
      </c>
      <c r="H56" s="76" t="str">
        <f t="shared" ref="H56:H60" si="1">H53</f>
        <v>中国</v>
      </c>
      <c r="I56" s="76" t="str">
        <f>明细!G14</f>
        <v>美国</v>
      </c>
      <c r="J56" s="76" t="str">
        <f>明细!P39</f>
        <v>江苏盐城</v>
      </c>
      <c r="K56" s="79" t="s">
        <v>237</v>
      </c>
      <c r="L56" s="6" t="str">
        <f>明细!Q39</f>
        <v>YS43</v>
      </c>
    </row>
    <row r="57" ht="24.95" customHeight="1" spans="1:12">
      <c r="A57" s="80"/>
      <c r="B57" s="96"/>
      <c r="C57" s="16"/>
      <c r="D57" s="16"/>
      <c r="E57" s="97"/>
      <c r="F57" s="97"/>
      <c r="G57" s="93">
        <f>明细!H39</f>
        <v>340.41</v>
      </c>
      <c r="H57" s="82" t="str">
        <f t="shared" si="1"/>
        <v>(CHN)</v>
      </c>
      <c r="I57" s="82"/>
      <c r="J57" s="98"/>
      <c r="K57" s="99"/>
    </row>
    <row r="58" ht="24.95" customHeight="1" spans="1:12">
      <c r="A58" s="80"/>
      <c r="B58" s="96"/>
      <c r="C58" s="7"/>
      <c r="D58" s="7"/>
      <c r="E58" s="97"/>
      <c r="F58" s="97"/>
      <c r="G58" s="90" t="str">
        <f>明细!H21</f>
        <v>美元</v>
      </c>
      <c r="H58" s="82"/>
      <c r="I58" s="82"/>
      <c r="J58" s="98"/>
      <c r="K58" s="99"/>
    </row>
    <row r="59" ht="24.95" customHeight="1" spans="1:12">
      <c r="A59" s="74">
        <f>明细!A40</f>
        <v>15</v>
      </c>
      <c r="B59" s="75">
        <f>明细!D40</f>
        <v>8302420000</v>
      </c>
      <c r="C59" s="76" t="str">
        <f>明细!C40</f>
        <v>连接件底座</v>
      </c>
      <c r="D59" s="76"/>
      <c r="E59" s="77">
        <f>明细!I40</f>
        <v>11</v>
      </c>
      <c r="F59" s="78" t="str">
        <f>明细!J40</f>
        <v>套</v>
      </c>
      <c r="G59" s="94">
        <f>明细!G40</f>
        <v>32.31</v>
      </c>
      <c r="H59" s="76" t="str">
        <f t="shared" si="1"/>
        <v>中国</v>
      </c>
      <c r="I59" s="76" t="str">
        <f>明细!G14</f>
        <v>美国</v>
      </c>
      <c r="J59" s="76" t="str">
        <f>明细!P40</f>
        <v>江苏盐城</v>
      </c>
      <c r="K59" s="79" t="s">
        <v>237</v>
      </c>
      <c r="L59" s="6" t="str">
        <f>明细!Q40</f>
        <v>YS44</v>
      </c>
    </row>
    <row r="60" ht="24.95" customHeight="1" spans="1:12">
      <c r="A60" s="80"/>
      <c r="B60" s="96"/>
      <c r="C60" s="16"/>
      <c r="D60" s="16"/>
      <c r="E60" s="97"/>
      <c r="F60" s="97"/>
      <c r="G60" s="93">
        <f>明细!H40</f>
        <v>355.41</v>
      </c>
      <c r="H60" s="82" t="str">
        <f t="shared" si="1"/>
        <v>(CHN)</v>
      </c>
      <c r="I60" s="82"/>
      <c r="J60" s="98"/>
      <c r="K60" s="99"/>
    </row>
    <row r="61" ht="24.95" customHeight="1" spans="1:12">
      <c r="A61" s="80"/>
      <c r="B61" s="96"/>
      <c r="C61" s="7"/>
      <c r="D61" s="7"/>
      <c r="E61" s="97"/>
      <c r="F61" s="97"/>
      <c r="G61" s="90" t="str">
        <f>明细!H21</f>
        <v>美元</v>
      </c>
      <c r="H61" s="82"/>
      <c r="I61" s="82"/>
      <c r="J61" s="98"/>
      <c r="K61" s="99"/>
    </row>
    <row r="62" ht="24.95" customHeight="1" spans="1:12">
      <c r="A62" s="74">
        <f>明细!A41</f>
        <v>16</v>
      </c>
      <c r="B62" s="75">
        <f>明细!D41</f>
        <v>8302420000</v>
      </c>
      <c r="C62" s="76" t="str">
        <f>明细!C41</f>
        <v>连接件底座</v>
      </c>
      <c r="D62" s="76"/>
      <c r="E62" s="77">
        <f>明细!I41</f>
        <v>36</v>
      </c>
      <c r="F62" s="78" t="str">
        <f>明细!J41</f>
        <v>套</v>
      </c>
      <c r="G62" s="94">
        <f>明细!G41</f>
        <v>3.23</v>
      </c>
      <c r="H62" s="76" t="str">
        <f t="shared" ref="H62:H66" si="2">H59</f>
        <v>中国</v>
      </c>
      <c r="I62" s="76" t="str">
        <f>明细!G14</f>
        <v>美国</v>
      </c>
      <c r="J62" s="76" t="str">
        <f>明细!P41</f>
        <v>江苏盐城</v>
      </c>
      <c r="K62" s="79" t="s">
        <v>237</v>
      </c>
      <c r="L62" s="6" t="str">
        <f>明细!Q41</f>
        <v>YS40</v>
      </c>
    </row>
    <row r="63" ht="24.95" customHeight="1" spans="1:12">
      <c r="A63" s="80"/>
      <c r="B63" s="96"/>
      <c r="C63" s="16"/>
      <c r="D63" s="16"/>
      <c r="E63" s="97"/>
      <c r="F63" s="97"/>
      <c r="G63" s="93">
        <f>明细!H41</f>
        <v>116.28</v>
      </c>
      <c r="H63" s="82" t="str">
        <f t="shared" si="2"/>
        <v>(CHN)</v>
      </c>
      <c r="I63" s="82"/>
      <c r="J63" s="98"/>
      <c r="K63" s="99"/>
    </row>
    <row r="64" ht="24.95" customHeight="1" spans="1:12">
      <c r="A64" s="80"/>
      <c r="B64" s="96"/>
      <c r="C64" s="7"/>
      <c r="D64" s="7"/>
      <c r="E64" s="97"/>
      <c r="F64" s="97"/>
      <c r="G64" s="90" t="str">
        <f>明细!H21</f>
        <v>美元</v>
      </c>
      <c r="H64" s="82"/>
      <c r="I64" s="82"/>
      <c r="J64" s="98"/>
      <c r="K64" s="99"/>
    </row>
    <row r="65" ht="24.95" customHeight="1" spans="1:12">
      <c r="A65" s="74">
        <f>明细!A42</f>
        <v>17</v>
      </c>
      <c r="B65" s="75">
        <f>明细!D42</f>
        <v>8302420000</v>
      </c>
      <c r="C65" s="76" t="str">
        <f>明细!C42</f>
        <v>连接件底座</v>
      </c>
      <c r="D65" s="76"/>
      <c r="E65" s="77">
        <f>明细!I42</f>
        <v>9</v>
      </c>
      <c r="F65" s="78" t="str">
        <f>明细!J42</f>
        <v>套</v>
      </c>
      <c r="G65" s="94">
        <f>明细!G42</f>
        <v>4.87</v>
      </c>
      <c r="H65" s="76" t="str">
        <f t="shared" si="2"/>
        <v>中国</v>
      </c>
      <c r="I65" s="76" t="str">
        <f>明细!G14</f>
        <v>美国</v>
      </c>
      <c r="J65" s="76" t="str">
        <f>明细!P42</f>
        <v>江苏盐城</v>
      </c>
      <c r="K65" s="79" t="s">
        <v>237</v>
      </c>
      <c r="L65" s="6" t="str">
        <f>明细!Q42</f>
        <v>YS41</v>
      </c>
    </row>
    <row r="66" ht="24.95" customHeight="1" spans="1:12">
      <c r="A66" s="80"/>
      <c r="B66" s="96"/>
      <c r="C66" s="16"/>
      <c r="D66" s="16"/>
      <c r="E66" s="97"/>
      <c r="F66" s="97"/>
      <c r="G66" s="93">
        <f>明细!H42</f>
        <v>43.83</v>
      </c>
      <c r="H66" s="82" t="str">
        <f t="shared" si="2"/>
        <v>(CHN)</v>
      </c>
      <c r="I66" s="82"/>
      <c r="J66" s="98"/>
      <c r="K66" s="99"/>
    </row>
    <row r="67" ht="24.95" customHeight="1" spans="1:12">
      <c r="A67" s="80"/>
      <c r="B67" s="96"/>
      <c r="C67" s="7"/>
      <c r="D67" s="7"/>
      <c r="E67" s="97"/>
      <c r="F67" s="97"/>
      <c r="G67" s="90" t="str">
        <f>明细!H21</f>
        <v>美元</v>
      </c>
      <c r="H67" s="82"/>
      <c r="I67" s="82"/>
      <c r="J67" s="98"/>
      <c r="K67" s="99"/>
    </row>
    <row r="68" ht="24.95" customHeight="1" spans="1:12">
      <c r="A68" s="74">
        <f>明细!A43</f>
        <v>18</v>
      </c>
      <c r="B68" s="75">
        <f>明细!D43</f>
        <v>8302420000</v>
      </c>
      <c r="C68" s="76" t="str">
        <f>明细!C43</f>
        <v>连接件底座</v>
      </c>
      <c r="D68" s="76"/>
      <c r="E68" s="77">
        <f>明细!I43</f>
        <v>48</v>
      </c>
      <c r="F68" s="78" t="str">
        <f>明细!J43</f>
        <v>套</v>
      </c>
      <c r="G68" s="94">
        <f>明细!G43</f>
        <v>6.49</v>
      </c>
      <c r="H68" s="76" t="str">
        <f t="shared" ref="H68:H72" si="3">H65</f>
        <v>中国</v>
      </c>
      <c r="I68" s="76" t="str">
        <f>明细!G14</f>
        <v>美国</v>
      </c>
      <c r="J68" s="76" t="str">
        <f>明细!P43</f>
        <v>江苏盐城</v>
      </c>
      <c r="K68" s="79" t="s">
        <v>237</v>
      </c>
      <c r="L68" s="6" t="str">
        <f>明细!Q43</f>
        <v>YS162</v>
      </c>
    </row>
    <row r="69" ht="24.95" customHeight="1" spans="1:12">
      <c r="A69" s="80"/>
      <c r="B69" s="96"/>
      <c r="C69" s="16"/>
      <c r="D69" s="16"/>
      <c r="E69" s="97"/>
      <c r="F69" s="97"/>
      <c r="G69" s="93">
        <f>明细!H43</f>
        <v>311.52</v>
      </c>
      <c r="H69" s="82" t="str">
        <f t="shared" si="3"/>
        <v>(CHN)</v>
      </c>
      <c r="I69" s="82"/>
      <c r="J69" s="98"/>
      <c r="K69" s="99"/>
    </row>
    <row r="70" ht="24.95" customHeight="1" spans="1:12">
      <c r="A70" s="80"/>
      <c r="B70" s="96"/>
      <c r="C70" s="7"/>
      <c r="D70" s="7"/>
      <c r="E70" s="97"/>
      <c r="F70" s="97"/>
      <c r="G70" s="90" t="str">
        <f>明细!H21</f>
        <v>美元</v>
      </c>
      <c r="H70" s="82"/>
      <c r="I70" s="82"/>
      <c r="J70" s="98"/>
      <c r="K70" s="99"/>
    </row>
    <row r="71" ht="24.95" customHeight="1" spans="1:12">
      <c r="A71" s="74">
        <f>明细!A44</f>
        <v>19</v>
      </c>
      <c r="B71" s="75">
        <f>明细!D44</f>
        <v>8302420000</v>
      </c>
      <c r="C71" s="76" t="str">
        <f>明细!C44</f>
        <v>连接件底座</v>
      </c>
      <c r="D71" s="76"/>
      <c r="E71" s="77">
        <f>明细!I44</f>
        <v>12</v>
      </c>
      <c r="F71" s="78" t="str">
        <f>明细!J44</f>
        <v>套</v>
      </c>
      <c r="G71" s="94">
        <f>明细!G44</f>
        <v>8.1</v>
      </c>
      <c r="H71" s="76" t="str">
        <f t="shared" si="3"/>
        <v>中国</v>
      </c>
      <c r="I71" s="76" t="str">
        <f>明细!G14</f>
        <v>美国</v>
      </c>
      <c r="J71" s="76" t="str">
        <f>明细!P44</f>
        <v>江苏盐城</v>
      </c>
      <c r="K71" s="79" t="s">
        <v>237</v>
      </c>
      <c r="L71" s="6" t="str">
        <f>明细!Q44</f>
        <v>YS42</v>
      </c>
    </row>
    <row r="72" ht="24.95" customHeight="1" spans="1:12">
      <c r="A72" s="80"/>
      <c r="B72" s="96"/>
      <c r="C72" s="16"/>
      <c r="D72" s="16"/>
      <c r="E72" s="97"/>
      <c r="F72" s="97"/>
      <c r="G72" s="93">
        <f>明细!H44</f>
        <v>97.2</v>
      </c>
      <c r="H72" s="82" t="str">
        <f t="shared" si="3"/>
        <v>(CHN)</v>
      </c>
      <c r="I72" s="82"/>
      <c r="J72" s="98"/>
      <c r="K72" s="99"/>
    </row>
    <row r="73" ht="24.95" customHeight="1" spans="1:12">
      <c r="A73" s="80"/>
      <c r="B73" s="96"/>
      <c r="C73" s="7"/>
      <c r="D73" s="7"/>
      <c r="E73" s="97"/>
      <c r="F73" s="97"/>
      <c r="G73" s="90" t="str">
        <f>明细!H21</f>
        <v>美元</v>
      </c>
      <c r="H73" s="82"/>
      <c r="I73" s="82"/>
      <c r="J73" s="98"/>
      <c r="K73" s="99"/>
    </row>
    <row r="74" ht="24.95" customHeight="1" spans="1:12">
      <c r="A74" s="74">
        <f>明细!A45</f>
        <v>20</v>
      </c>
      <c r="B74" s="75">
        <f>明细!D45</f>
        <v>8302420000</v>
      </c>
      <c r="C74" s="76" t="str">
        <f>明细!C45</f>
        <v>连接件底座</v>
      </c>
      <c r="D74" s="76"/>
      <c r="E74" s="77">
        <f>明细!I45</f>
        <v>39</v>
      </c>
      <c r="F74" s="78" t="str">
        <f>明细!J45</f>
        <v>套</v>
      </c>
      <c r="G74" s="94">
        <f>明细!G45</f>
        <v>14.56</v>
      </c>
      <c r="H74" s="76" t="str">
        <f>H71</f>
        <v>中国</v>
      </c>
      <c r="I74" s="76" t="str">
        <f>明细!G14</f>
        <v>美国</v>
      </c>
      <c r="J74" s="76" t="str">
        <f>明细!P45</f>
        <v>江苏盐城</v>
      </c>
      <c r="K74" s="79" t="s">
        <v>237</v>
      </c>
      <c r="L74" s="6" t="str">
        <f>明细!Q45</f>
        <v>YS205</v>
      </c>
    </row>
    <row r="75" ht="24.95" customHeight="1" spans="1:12">
      <c r="A75" s="80"/>
      <c r="B75" s="96"/>
      <c r="C75" s="16"/>
      <c r="D75" s="16"/>
      <c r="E75" s="97"/>
      <c r="F75" s="97"/>
      <c r="G75" s="93">
        <f>明细!H45</f>
        <v>567.84</v>
      </c>
      <c r="H75" s="82" t="str">
        <f t="shared" ref="H75:H81" si="4">H72</f>
        <v>(CHN)</v>
      </c>
      <c r="I75" s="82"/>
      <c r="J75" s="98"/>
      <c r="K75" s="99"/>
    </row>
    <row r="76" ht="24.95" customHeight="1" spans="1:12">
      <c r="A76" s="80"/>
      <c r="B76" s="96"/>
      <c r="C76" s="7"/>
      <c r="D76" s="7"/>
      <c r="E76" s="97"/>
      <c r="F76" s="97"/>
      <c r="G76" s="90" t="str">
        <f>明细!H21</f>
        <v>美元</v>
      </c>
      <c r="H76" s="82"/>
      <c r="I76" s="82"/>
      <c r="J76" s="98"/>
      <c r="K76" s="99"/>
    </row>
    <row r="77" ht="24.95" customHeight="1" spans="1:12">
      <c r="A77" s="74">
        <f>明细!A46</f>
        <v>21</v>
      </c>
      <c r="B77" s="75">
        <f>明细!D46</f>
        <v>8302420000</v>
      </c>
      <c r="C77" s="76" t="str">
        <f>明细!C46</f>
        <v>不锈钢连接件底座</v>
      </c>
      <c r="D77" s="76"/>
      <c r="E77" s="77">
        <f>明细!I46</f>
        <v>24</v>
      </c>
      <c r="F77" s="78" t="str">
        <f>明细!J46</f>
        <v>套</v>
      </c>
      <c r="G77" s="94">
        <f>明细!G46</f>
        <v>10.03</v>
      </c>
      <c r="H77" s="76" t="str">
        <f>H74</f>
        <v>中国</v>
      </c>
      <c r="I77" s="76" t="str">
        <f>明细!G14</f>
        <v>美国</v>
      </c>
      <c r="J77" s="76" t="str">
        <f>明细!P46</f>
        <v>江苏昆山</v>
      </c>
      <c r="K77" s="79" t="s">
        <v>237</v>
      </c>
      <c r="L77" s="6" t="str">
        <f>明细!Q46</f>
        <v>YS73</v>
      </c>
    </row>
    <row r="78" ht="24.95" customHeight="1" spans="1:12">
      <c r="A78" s="80"/>
      <c r="B78" s="96"/>
      <c r="C78" s="16"/>
      <c r="D78" s="16"/>
      <c r="E78" s="97"/>
      <c r="F78" s="97"/>
      <c r="G78" s="93">
        <f>明细!H46</f>
        <v>240.72</v>
      </c>
      <c r="H78" s="82" t="str">
        <f t="shared" si="4"/>
        <v>(CHN)</v>
      </c>
      <c r="I78" s="82"/>
      <c r="J78" s="98"/>
      <c r="K78" s="99"/>
    </row>
    <row r="79" ht="24.95" customHeight="1" spans="1:12">
      <c r="A79" s="80"/>
      <c r="B79" s="96"/>
      <c r="C79" s="7"/>
      <c r="D79" s="7"/>
      <c r="E79" s="97"/>
      <c r="F79" s="97"/>
      <c r="G79" s="90" t="str">
        <f>明细!H21</f>
        <v>美元</v>
      </c>
      <c r="H79" s="82"/>
      <c r="I79" s="82"/>
      <c r="J79" s="98"/>
      <c r="K79" s="99"/>
    </row>
    <row r="80" ht="24.95" customHeight="1" spans="1:12">
      <c r="A80" s="74">
        <f>明细!A47</f>
        <v>22</v>
      </c>
      <c r="B80" s="75">
        <f>明细!D47</f>
        <v>8302420000</v>
      </c>
      <c r="C80" s="76" t="str">
        <f>明细!C47</f>
        <v>连接件底座</v>
      </c>
      <c r="D80" s="76"/>
      <c r="E80" s="77">
        <f>明细!I47</f>
        <v>14</v>
      </c>
      <c r="F80" s="78" t="str">
        <f>明细!J47</f>
        <v>套</v>
      </c>
      <c r="G80" s="94">
        <f>明细!G47</f>
        <v>19.31</v>
      </c>
      <c r="H80" s="76" t="str">
        <f t="shared" si="4"/>
        <v>中国</v>
      </c>
      <c r="I80" s="76" t="str">
        <f>明细!G14</f>
        <v>美国</v>
      </c>
      <c r="J80" s="76" t="str">
        <f>明细!P47</f>
        <v>江苏昆山</v>
      </c>
      <c r="K80" s="79" t="s">
        <v>237</v>
      </c>
      <c r="L80" s="6" t="str">
        <f>明细!Q47</f>
        <v>YS163</v>
      </c>
    </row>
    <row r="81" ht="24.95" customHeight="1" spans="1:12">
      <c r="A81" s="80"/>
      <c r="B81" s="96"/>
      <c r="C81" s="16"/>
      <c r="D81" s="16"/>
      <c r="E81" s="97"/>
      <c r="F81" s="97"/>
      <c r="G81" s="93">
        <f>明细!H47</f>
        <v>270.34</v>
      </c>
      <c r="H81" s="82" t="str">
        <f t="shared" si="4"/>
        <v>(CHN)</v>
      </c>
      <c r="I81" s="82"/>
      <c r="J81" s="98"/>
      <c r="K81" s="99"/>
    </row>
    <row r="82" ht="24.95" customHeight="1" spans="1:12">
      <c r="A82" s="80"/>
      <c r="B82" s="96"/>
      <c r="C82" s="7"/>
      <c r="D82" s="7"/>
      <c r="E82" s="97"/>
      <c r="F82" s="97"/>
      <c r="G82" s="90" t="str">
        <f>明细!H21</f>
        <v>美元</v>
      </c>
      <c r="H82" s="82"/>
      <c r="I82" s="82"/>
      <c r="J82" s="98"/>
      <c r="K82" s="99"/>
    </row>
    <row r="83" ht="24.95" customHeight="1" spans="1:12">
      <c r="A83" s="74">
        <f>明细!A48</f>
        <v>23</v>
      </c>
      <c r="B83" s="75">
        <f>明细!D48</f>
        <v>8302420000</v>
      </c>
      <c r="C83" s="76" t="str">
        <f>明细!C48</f>
        <v>不锈钢连接件底座</v>
      </c>
      <c r="D83" s="76"/>
      <c r="E83" s="77">
        <f>明细!I48</f>
        <v>9</v>
      </c>
      <c r="F83" s="78" t="str">
        <f>明细!J48</f>
        <v>套</v>
      </c>
      <c r="G83" s="94">
        <f>明细!G48</f>
        <v>11.16</v>
      </c>
      <c r="H83" s="76" t="str">
        <f>H80</f>
        <v>中国</v>
      </c>
      <c r="I83" s="76" t="str">
        <f>明细!G14</f>
        <v>美国</v>
      </c>
      <c r="J83" s="76" t="str">
        <f>明细!P48</f>
        <v>江苏启东</v>
      </c>
      <c r="K83" s="79" t="s">
        <v>237</v>
      </c>
      <c r="L83" s="6" t="str">
        <f>明细!Q48</f>
        <v>YS278</v>
      </c>
    </row>
    <row r="84" ht="24.95" customHeight="1" spans="1:12">
      <c r="A84" s="80"/>
      <c r="B84" s="96"/>
      <c r="C84" s="16"/>
      <c r="D84" s="16"/>
      <c r="E84" s="97"/>
      <c r="F84" s="97"/>
      <c r="G84" s="93">
        <f>明细!H48</f>
        <v>100.44</v>
      </c>
      <c r="H84" s="82" t="str">
        <f t="shared" ref="H84:H90" si="5">H81</f>
        <v>(CHN)</v>
      </c>
      <c r="I84" s="82"/>
      <c r="J84" s="98"/>
      <c r="K84" s="99"/>
    </row>
    <row r="85" ht="24.95" customHeight="1" spans="1:12">
      <c r="A85" s="80"/>
      <c r="B85" s="96"/>
      <c r="C85" s="7"/>
      <c r="D85" s="7"/>
      <c r="E85" s="97"/>
      <c r="F85" s="97"/>
      <c r="G85" s="90" t="str">
        <f>明细!H21</f>
        <v>美元</v>
      </c>
      <c r="H85" s="82"/>
      <c r="I85" s="82"/>
      <c r="J85" s="98"/>
      <c r="K85" s="99"/>
    </row>
    <row r="86" ht="24.95" customHeight="1" spans="1:12">
      <c r="A86" s="74">
        <f>明细!A49</f>
        <v>24</v>
      </c>
      <c r="B86" s="75">
        <f>明细!D49</f>
        <v>8302420000</v>
      </c>
      <c r="C86" s="76" t="str">
        <f>明细!C49</f>
        <v>不锈钢连接件底座</v>
      </c>
      <c r="D86" s="76"/>
      <c r="E86" s="77">
        <f>明细!I49</f>
        <v>4</v>
      </c>
      <c r="F86" s="78" t="str">
        <f>明细!J49</f>
        <v>套</v>
      </c>
      <c r="G86" s="94">
        <f>明细!G49</f>
        <v>21.51</v>
      </c>
      <c r="H86" s="76" t="str">
        <f>H83</f>
        <v>中国</v>
      </c>
      <c r="I86" s="76" t="str">
        <f>明细!G14</f>
        <v>美国</v>
      </c>
      <c r="J86" s="76" t="str">
        <f>明细!P49</f>
        <v>江苏启东</v>
      </c>
      <c r="K86" s="79" t="s">
        <v>237</v>
      </c>
      <c r="L86" s="6" t="str">
        <f>明细!Q49</f>
        <v>YS279</v>
      </c>
    </row>
    <row r="87" ht="24.95" customHeight="1" spans="1:12">
      <c r="A87" s="80"/>
      <c r="B87" s="96"/>
      <c r="C87" s="16"/>
      <c r="D87" s="16"/>
      <c r="E87" s="97"/>
      <c r="F87" s="97"/>
      <c r="G87" s="93">
        <f>明细!H49</f>
        <v>86.04</v>
      </c>
      <c r="H87" s="82" t="str">
        <f t="shared" si="5"/>
        <v>(CHN)</v>
      </c>
      <c r="I87" s="82"/>
      <c r="J87" s="98"/>
      <c r="K87" s="99"/>
    </row>
    <row r="88" ht="24.95" customHeight="1" spans="1:12">
      <c r="A88" s="80"/>
      <c r="B88" s="96"/>
      <c r="C88" s="7"/>
      <c r="D88" s="7"/>
      <c r="E88" s="97"/>
      <c r="F88" s="97"/>
      <c r="G88" s="90" t="str">
        <f>明细!H21</f>
        <v>美元</v>
      </c>
      <c r="H88" s="82"/>
      <c r="I88" s="82"/>
      <c r="J88" s="98"/>
      <c r="K88" s="99"/>
    </row>
    <row r="89" ht="24.95" customHeight="1" spans="1:12">
      <c r="A89" s="74">
        <f>明细!A50</f>
        <v>25</v>
      </c>
      <c r="B89" s="75">
        <f>明细!D50</f>
        <v>8302420000</v>
      </c>
      <c r="C89" s="76" t="str">
        <f>明细!C50</f>
        <v>不锈钢连接件底座</v>
      </c>
      <c r="D89" s="76"/>
      <c r="E89" s="77">
        <f>明细!I50</f>
        <v>3</v>
      </c>
      <c r="F89" s="78" t="str">
        <f>明细!J50</f>
        <v>套</v>
      </c>
      <c r="G89" s="94">
        <f>明细!G50</f>
        <v>44.61</v>
      </c>
      <c r="H89" s="76" t="str">
        <f t="shared" si="5"/>
        <v>中国</v>
      </c>
      <c r="I89" s="76" t="str">
        <f>明细!G14</f>
        <v>美国</v>
      </c>
      <c r="J89" s="76" t="str">
        <f>明细!P50</f>
        <v>江苏启东</v>
      </c>
      <c r="K89" s="79" t="s">
        <v>237</v>
      </c>
      <c r="L89" s="6" t="str">
        <f>明细!Q50</f>
        <v>YS280</v>
      </c>
    </row>
    <row r="90" ht="24.95" customHeight="1" spans="1:12">
      <c r="A90" s="80"/>
      <c r="B90" s="96"/>
      <c r="C90" s="16"/>
      <c r="D90" s="16"/>
      <c r="E90" s="97"/>
      <c r="F90" s="97"/>
      <c r="G90" s="93">
        <f>明细!H50</f>
        <v>133.83</v>
      </c>
      <c r="H90" s="82" t="str">
        <f t="shared" si="5"/>
        <v>(CHN)</v>
      </c>
      <c r="I90" s="82"/>
      <c r="J90" s="98"/>
      <c r="K90" s="99"/>
    </row>
    <row r="91" ht="24.95" customHeight="1" spans="1:12">
      <c r="A91" s="80"/>
      <c r="B91" s="96"/>
      <c r="C91" s="7"/>
      <c r="D91" s="7"/>
      <c r="E91" s="97"/>
      <c r="F91" s="97"/>
      <c r="G91" s="90" t="str">
        <f>明细!H21</f>
        <v>美元</v>
      </c>
      <c r="H91" s="82"/>
      <c r="I91" s="82"/>
      <c r="J91" s="98"/>
      <c r="K91" s="99"/>
    </row>
    <row r="92" ht="24.95" customHeight="1" spans="1:12">
      <c r="A92" s="74">
        <f>明细!A51</f>
        <v>26</v>
      </c>
      <c r="B92" s="75">
        <f>明细!D51</f>
        <v>7318159090</v>
      </c>
      <c r="C92" s="76" t="str">
        <f>明细!C51</f>
        <v>螺钉</v>
      </c>
      <c r="D92" s="76"/>
      <c r="E92" s="77">
        <f>明细!I51</f>
        <v>8</v>
      </c>
      <c r="F92" s="78" t="str">
        <f>明细!J51</f>
        <v>套</v>
      </c>
      <c r="G92" s="94">
        <f>明细!G51</f>
        <v>22.1</v>
      </c>
      <c r="H92" s="76" t="str">
        <f>H89</f>
        <v>中国</v>
      </c>
      <c r="I92" s="76" t="str">
        <f>明细!G14</f>
        <v>美国</v>
      </c>
      <c r="J92" s="76" t="str">
        <f>明细!P51</f>
        <v>上海奉贤</v>
      </c>
      <c r="K92" s="79" t="s">
        <v>237</v>
      </c>
      <c r="L92" s="6" t="str">
        <f>明细!Q51</f>
        <v>YS545</v>
      </c>
    </row>
    <row r="93" ht="24.95" customHeight="1" spans="1:12">
      <c r="A93" s="80"/>
      <c r="B93" s="96"/>
      <c r="C93" s="16"/>
      <c r="D93" s="16"/>
      <c r="E93" s="97"/>
      <c r="F93" s="97"/>
      <c r="G93" s="93">
        <f>明细!H51</f>
        <v>176.8</v>
      </c>
      <c r="H93" s="82" t="str">
        <f t="shared" ref="H93:H99" si="6">H90</f>
        <v>(CHN)</v>
      </c>
      <c r="I93" s="82"/>
      <c r="J93" s="98"/>
      <c r="K93" s="99"/>
    </row>
    <row r="94" ht="24.95" customHeight="1" spans="1:12">
      <c r="A94" s="80"/>
      <c r="B94" s="96"/>
      <c r="C94" s="7"/>
      <c r="D94" s="7"/>
      <c r="E94" s="97"/>
      <c r="F94" s="97"/>
      <c r="G94" s="83" t="str">
        <f>明细!H21</f>
        <v>美元</v>
      </c>
      <c r="H94" s="82"/>
      <c r="I94" s="82"/>
      <c r="J94" s="98"/>
      <c r="K94" s="99"/>
    </row>
    <row r="95" s="7" customFormat="1" ht="24.95" customHeight="1" spans="1:12">
      <c r="A95" s="74">
        <f>明细!A52</f>
        <v>27</v>
      </c>
      <c r="B95" s="100">
        <f>明细!D52</f>
        <v>7318159090</v>
      </c>
      <c r="C95" s="76" t="str">
        <f>明细!C52</f>
        <v>螺钉</v>
      </c>
      <c r="D95" s="76"/>
      <c r="E95" s="77">
        <f>明细!I52</f>
        <v>12</v>
      </c>
      <c r="F95" s="101" t="str">
        <f>明细!J52</f>
        <v>套</v>
      </c>
      <c r="G95" s="102">
        <f>明细!G52</f>
        <v>9.56</v>
      </c>
      <c r="H95" s="76" t="str">
        <f t="shared" si="6"/>
        <v>中国</v>
      </c>
      <c r="I95" s="76" t="str">
        <f>明细!G14</f>
        <v>美国</v>
      </c>
      <c r="J95" s="103" t="str">
        <f>明细!P52</f>
        <v>上海奉贤</v>
      </c>
      <c r="K95" s="79" t="s">
        <v>237</v>
      </c>
      <c r="L95" s="6" t="str">
        <f>明细!Q52</f>
        <v>YS317</v>
      </c>
    </row>
    <row r="96" s="7" customFormat="1" ht="24.95" customHeight="1" spans="1:12">
      <c r="A96" s="80"/>
      <c r="B96" s="96"/>
      <c r="C96" s="98"/>
      <c r="D96" s="98"/>
      <c r="E96" s="83"/>
      <c r="F96" s="16"/>
      <c r="G96" s="93">
        <f>明细!H52</f>
        <v>114.72</v>
      </c>
      <c r="H96" s="82" t="str">
        <f t="shared" si="6"/>
        <v>(CHN)</v>
      </c>
      <c r="I96" s="82"/>
      <c r="J96" s="98"/>
      <c r="K96" s="104"/>
    </row>
    <row r="97" s="7" customFormat="1" ht="26" customHeight="1" spans="1:12">
      <c r="A97" s="105"/>
      <c r="B97" s="106"/>
      <c r="C97" s="107"/>
      <c r="D97" s="107"/>
      <c r="E97" s="108"/>
      <c r="F97" s="109"/>
      <c r="G97" s="90" t="str">
        <f>明细!H21</f>
        <v>美元</v>
      </c>
      <c r="H97" s="107"/>
      <c r="I97" s="106"/>
      <c r="J97" s="107"/>
      <c r="K97" s="110"/>
    </row>
    <row r="98" s="7" customFormat="1" ht="24.95" customHeight="1" spans="1:12">
      <c r="A98" s="111">
        <f>明细!A53</f>
        <v>28</v>
      </c>
      <c r="B98" s="82">
        <f>明细!D53</f>
        <v>7318159090</v>
      </c>
      <c r="C98" s="95" t="str">
        <f>明细!C53</f>
        <v>螺钉</v>
      </c>
      <c r="D98" s="95"/>
      <c r="E98" s="83">
        <f>明细!I53</f>
        <v>32</v>
      </c>
      <c r="F98" s="112" t="str">
        <f>明细!J53</f>
        <v>套</v>
      </c>
      <c r="G98" s="113">
        <f>明细!G53</f>
        <v>4.79</v>
      </c>
      <c r="H98" s="76" t="str">
        <f t="shared" si="6"/>
        <v>中国</v>
      </c>
      <c r="I98" s="82" t="str">
        <f>明细!G14</f>
        <v>美国</v>
      </c>
      <c r="J98" s="82" t="str">
        <f>明细!P53</f>
        <v>上海奉贤</v>
      </c>
      <c r="K98" s="79" t="s">
        <v>237</v>
      </c>
      <c r="L98" s="6" t="str">
        <f>明细!Q53</f>
        <v>YS316</v>
      </c>
    </row>
    <row r="99" s="7" customFormat="1" ht="24.95" customHeight="1" spans="1:12">
      <c r="A99" s="111"/>
      <c r="B99" s="82"/>
      <c r="C99" s="95"/>
      <c r="D99" s="95"/>
      <c r="E99" s="83"/>
      <c r="F99" s="112"/>
      <c r="G99" s="113">
        <f>明细!H53</f>
        <v>153.28</v>
      </c>
      <c r="H99" s="82" t="str">
        <f t="shared" si="6"/>
        <v>(CHN)</v>
      </c>
      <c r="I99" s="82"/>
      <c r="J99" s="82"/>
      <c r="K99" s="114"/>
    </row>
    <row r="100" s="7" customFormat="1" ht="24.95" customHeight="1" spans="1:12">
      <c r="A100" s="111"/>
      <c r="B100" s="82"/>
      <c r="C100" s="95"/>
      <c r="D100" s="95"/>
      <c r="E100" s="83"/>
      <c r="F100" s="112"/>
      <c r="G100" s="83" t="str">
        <f>明细!H21</f>
        <v>美元</v>
      </c>
      <c r="H100" s="82"/>
      <c r="I100" s="82"/>
      <c r="J100" s="82"/>
      <c r="K100" s="114"/>
    </row>
    <row r="101" customFormat="1" ht="24.95" customHeight="1" spans="1:12">
      <c r="A101" s="115">
        <f>明细!A54</f>
        <v>29</v>
      </c>
      <c r="B101" s="76">
        <f>明细!D54</f>
        <v>7318159090</v>
      </c>
      <c r="C101" s="76" t="str">
        <f>明细!C54</f>
        <v>螺钉</v>
      </c>
      <c r="D101" s="76"/>
      <c r="E101" s="77">
        <f>明细!I54</f>
        <v>16</v>
      </c>
      <c r="F101" s="116" t="str">
        <f>明细!J54</f>
        <v>套</v>
      </c>
      <c r="G101" s="77">
        <f>明细!G54</f>
        <v>4.79</v>
      </c>
      <c r="H101" s="76" t="s">
        <v>236</v>
      </c>
      <c r="I101" s="76" t="str">
        <f>明细!G14</f>
        <v>美国</v>
      </c>
      <c r="J101" s="76" t="str">
        <f>明细!P54</f>
        <v>上海奉贤</v>
      </c>
      <c r="K101" s="79" t="s">
        <v>237</v>
      </c>
      <c r="L101" s="6" t="str">
        <f>明细!Q54</f>
        <v>YS384</v>
      </c>
    </row>
    <row r="102" customFormat="1" ht="24.95" customHeight="1" spans="1:12">
      <c r="A102" s="111"/>
      <c r="B102" s="82"/>
      <c r="C102" s="95"/>
      <c r="D102" s="95"/>
      <c r="E102" s="83"/>
      <c r="F102" s="112"/>
      <c r="G102" s="83">
        <f>明细!H54</f>
        <v>76.64</v>
      </c>
      <c r="H102" s="82" t="s">
        <v>238</v>
      </c>
      <c r="I102" s="82"/>
      <c r="J102" s="82"/>
      <c r="K102" s="114"/>
    </row>
    <row r="103" customFormat="1" ht="24.95" customHeight="1" spans="1:12">
      <c r="A103" s="117"/>
      <c r="B103" s="89"/>
      <c r="C103" s="89"/>
      <c r="D103" s="89"/>
      <c r="E103" s="90"/>
      <c r="F103" s="118"/>
      <c r="G103" s="90" t="str">
        <f>明细!H21</f>
        <v>美元</v>
      </c>
      <c r="H103" s="89"/>
      <c r="I103" s="89"/>
      <c r="J103" s="89"/>
      <c r="K103" s="119"/>
    </row>
    <row r="104" customFormat="1" ht="24.95" customHeight="1" spans="1:12">
      <c r="A104" s="111">
        <f>明细!A55</f>
        <v>30</v>
      </c>
      <c r="B104" s="82">
        <f>明细!D55</f>
        <v>7318159090</v>
      </c>
      <c r="C104" s="95" t="str">
        <f>明细!C55</f>
        <v>螺钉</v>
      </c>
      <c r="D104" s="95"/>
      <c r="E104" s="83">
        <f>明细!I55</f>
        <v>12</v>
      </c>
      <c r="F104" s="112" t="str">
        <f>明细!J55</f>
        <v>套</v>
      </c>
      <c r="G104" s="83">
        <f>明细!G55</f>
        <v>12.81</v>
      </c>
      <c r="H104" s="76" t="s">
        <v>236</v>
      </c>
      <c r="I104" s="82" t="str">
        <f>明细!G14</f>
        <v>美国</v>
      </c>
      <c r="J104" s="82" t="str">
        <f>明细!P55</f>
        <v>上海奉贤</v>
      </c>
      <c r="K104" s="114" t="s">
        <v>237</v>
      </c>
      <c r="L104" s="6" t="str">
        <f>明细!Q55</f>
        <v>YS361</v>
      </c>
    </row>
    <row r="105" customFormat="1" ht="24.95" customHeight="1" spans="1:12">
      <c r="A105" s="111"/>
      <c r="B105" s="82"/>
      <c r="C105" s="95"/>
      <c r="D105" s="95"/>
      <c r="E105" s="83"/>
      <c r="F105" s="112"/>
      <c r="G105" s="83">
        <f>明细!H55</f>
        <v>153.72</v>
      </c>
      <c r="H105" s="82" t="s">
        <v>238</v>
      </c>
      <c r="I105" s="82"/>
      <c r="J105" s="82"/>
      <c r="K105" s="114"/>
    </row>
    <row r="106" customFormat="1" ht="24.95" customHeight="1" spans="1:12">
      <c r="A106" s="117"/>
      <c r="B106" s="89"/>
      <c r="C106" s="89"/>
      <c r="D106" s="89"/>
      <c r="E106" s="90"/>
      <c r="F106" s="118"/>
      <c r="G106" s="90" t="str">
        <f>明细!H21</f>
        <v>美元</v>
      </c>
      <c r="H106" s="89"/>
      <c r="I106" s="89"/>
      <c r="J106" s="89"/>
      <c r="K106" s="119"/>
    </row>
    <row r="107" customFormat="1" ht="24.95" customHeight="1" spans="1:12">
      <c r="A107" s="111">
        <f>明细!A56</f>
        <v>31</v>
      </c>
      <c r="B107" s="82">
        <f>明细!D56</f>
        <v>7318159090</v>
      </c>
      <c r="C107" s="95" t="str">
        <f>明细!C56</f>
        <v>螺钉</v>
      </c>
      <c r="D107" s="95"/>
      <c r="E107" s="83">
        <f>明细!I56</f>
        <v>4</v>
      </c>
      <c r="F107" s="112" t="str">
        <f>明细!J56</f>
        <v>套</v>
      </c>
      <c r="G107" s="83">
        <f>明细!G56</f>
        <v>38.07</v>
      </c>
      <c r="H107" s="76" t="s">
        <v>236</v>
      </c>
      <c r="I107" s="82" t="str">
        <f>明细!G14</f>
        <v>美国</v>
      </c>
      <c r="J107" s="82" t="str">
        <f>明细!P56</f>
        <v>上海奉贤</v>
      </c>
      <c r="K107" s="114" t="s">
        <v>237</v>
      </c>
      <c r="L107" s="6" t="str">
        <f>明细!Q56</f>
        <v>YS320</v>
      </c>
    </row>
    <row r="108" customFormat="1" ht="24.95" customHeight="1" spans="1:12">
      <c r="A108" s="111"/>
      <c r="B108" s="82"/>
      <c r="C108" s="95"/>
      <c r="D108" s="95"/>
      <c r="E108" s="83"/>
      <c r="F108" s="112"/>
      <c r="G108" s="83">
        <f>明细!H56</f>
        <v>152.28</v>
      </c>
      <c r="H108" s="82" t="s">
        <v>238</v>
      </c>
      <c r="I108" s="82"/>
      <c r="J108" s="82"/>
      <c r="K108" s="114"/>
    </row>
    <row r="109" customFormat="1" ht="24.95" customHeight="1" spans="1:12">
      <c r="A109" s="117"/>
      <c r="B109" s="89"/>
      <c r="C109" s="89"/>
      <c r="D109" s="89"/>
      <c r="E109" s="90"/>
      <c r="F109" s="118"/>
      <c r="G109" s="90" t="str">
        <f>明细!H21</f>
        <v>美元</v>
      </c>
      <c r="H109" s="89"/>
      <c r="I109" s="89"/>
      <c r="J109" s="89"/>
      <c r="K109" s="119"/>
    </row>
    <row r="110" customFormat="1" ht="24.95" customHeight="1" spans="1:12">
      <c r="A110" s="111">
        <f>明细!A57</f>
        <v>32</v>
      </c>
      <c r="B110" s="82">
        <f>明细!D57</f>
        <v>7318159090</v>
      </c>
      <c r="C110" s="95" t="str">
        <f>明细!C57</f>
        <v>螺钉</v>
      </c>
      <c r="D110" s="95"/>
      <c r="E110" s="83">
        <f>明细!I57</f>
        <v>24</v>
      </c>
      <c r="F110" s="112" t="str">
        <f>明细!J57</f>
        <v>套</v>
      </c>
      <c r="G110" s="83">
        <f>明细!G57</f>
        <v>6.41</v>
      </c>
      <c r="H110" s="76" t="s">
        <v>236</v>
      </c>
      <c r="I110" s="82" t="str">
        <f>明细!G14</f>
        <v>美国</v>
      </c>
      <c r="J110" s="82" t="str">
        <f>明细!P57</f>
        <v>上海奉贤</v>
      </c>
      <c r="K110" s="114" t="s">
        <v>237</v>
      </c>
      <c r="L110" s="6" t="str">
        <f>明细!Q57</f>
        <v>YS319</v>
      </c>
    </row>
    <row r="111" customFormat="1" ht="24.95" customHeight="1" spans="1:12">
      <c r="A111" s="111"/>
      <c r="B111" s="82"/>
      <c r="C111" s="95"/>
      <c r="D111" s="95"/>
      <c r="E111" s="83"/>
      <c r="F111" s="112"/>
      <c r="G111" s="83">
        <f>明细!H57</f>
        <v>153.84</v>
      </c>
      <c r="H111" s="82" t="s">
        <v>238</v>
      </c>
      <c r="I111" s="82"/>
      <c r="J111" s="82"/>
      <c r="K111" s="114"/>
    </row>
    <row r="112" customFormat="1" ht="24.95" customHeight="1" spans="1:12">
      <c r="A112" s="117"/>
      <c r="B112" s="89"/>
      <c r="C112" s="89"/>
      <c r="D112" s="89"/>
      <c r="E112" s="90"/>
      <c r="F112" s="118"/>
      <c r="G112" s="90" t="str">
        <f>明细!H21</f>
        <v>美元</v>
      </c>
      <c r="H112" s="89"/>
      <c r="I112" s="89"/>
      <c r="J112" s="89"/>
      <c r="K112" s="119"/>
    </row>
    <row r="113" customFormat="1" ht="24.95" customHeight="1" spans="1:12">
      <c r="A113" s="111">
        <f>明细!A58</f>
        <v>33</v>
      </c>
      <c r="B113" s="82">
        <f>明细!D58</f>
        <v>7318159090</v>
      </c>
      <c r="C113" s="95" t="str">
        <f>明细!C58</f>
        <v>螺钉</v>
      </c>
      <c r="D113" s="95"/>
      <c r="E113" s="83">
        <f>明细!I58</f>
        <v>6</v>
      </c>
      <c r="F113" s="112" t="str">
        <f>明细!J58</f>
        <v>套</v>
      </c>
      <c r="G113" s="83">
        <f>明细!G58</f>
        <v>16.53</v>
      </c>
      <c r="H113" s="76" t="s">
        <v>236</v>
      </c>
      <c r="I113" s="82" t="str">
        <f>明细!G14</f>
        <v>美国</v>
      </c>
      <c r="J113" s="82" t="str">
        <f>明细!P58</f>
        <v>上海奉贤</v>
      </c>
      <c r="K113" s="114" t="s">
        <v>237</v>
      </c>
      <c r="L113" s="6" t="str">
        <f>明细!Q58</f>
        <v>YS544</v>
      </c>
    </row>
    <row r="114" customFormat="1" ht="24.95" customHeight="1" spans="1:12">
      <c r="A114" s="111"/>
      <c r="B114" s="82"/>
      <c r="C114" s="95"/>
      <c r="D114" s="95"/>
      <c r="E114" s="83"/>
      <c r="F114" s="112"/>
      <c r="G114" s="83">
        <f>明细!H58</f>
        <v>99.18</v>
      </c>
      <c r="H114" s="82" t="s">
        <v>238</v>
      </c>
      <c r="I114" s="82"/>
      <c r="J114" s="82"/>
      <c r="K114" s="114"/>
    </row>
    <row r="115" customFormat="1" ht="24.95" customHeight="1" spans="1:12">
      <c r="A115" s="117"/>
      <c r="B115" s="89"/>
      <c r="C115" s="89"/>
      <c r="D115" s="89"/>
      <c r="E115" s="90"/>
      <c r="F115" s="118"/>
      <c r="G115" s="90" t="str">
        <f>明细!H21</f>
        <v>美元</v>
      </c>
      <c r="H115" s="89"/>
      <c r="I115" s="89"/>
      <c r="J115" s="89"/>
      <c r="K115" s="119"/>
    </row>
    <row r="116" customFormat="1" ht="24.95" customHeight="1" spans="1:12">
      <c r="A116" s="111">
        <f>明细!A59</f>
        <v>34</v>
      </c>
      <c r="B116" s="82">
        <f>明细!D59</f>
        <v>7318159090</v>
      </c>
      <c r="C116" s="95" t="str">
        <f>明细!C59</f>
        <v>螺钉</v>
      </c>
      <c r="D116" s="95"/>
      <c r="E116" s="83">
        <f>明细!I59</f>
        <v>4</v>
      </c>
      <c r="F116" s="112" t="str">
        <f>明细!J59</f>
        <v>套</v>
      </c>
      <c r="G116" s="83">
        <f>明细!G59</f>
        <v>26.46</v>
      </c>
      <c r="H116" s="76" t="s">
        <v>236</v>
      </c>
      <c r="I116" s="82" t="str">
        <f>明细!G14</f>
        <v>美国</v>
      </c>
      <c r="J116" s="82" t="str">
        <f>明细!P59</f>
        <v>上海奉贤</v>
      </c>
      <c r="K116" s="114" t="s">
        <v>237</v>
      </c>
      <c r="L116" s="6" t="str">
        <f>明细!Q59</f>
        <v>YS181</v>
      </c>
    </row>
    <row r="117" customFormat="1" ht="24.95" customHeight="1" spans="1:12">
      <c r="A117" s="111"/>
      <c r="B117" s="82"/>
      <c r="C117" s="95"/>
      <c r="D117" s="95"/>
      <c r="E117" s="83"/>
      <c r="F117" s="112"/>
      <c r="G117" s="83">
        <f>明细!H59</f>
        <v>105.84</v>
      </c>
      <c r="H117" s="82" t="s">
        <v>238</v>
      </c>
      <c r="I117" s="82"/>
      <c r="J117" s="82"/>
      <c r="K117" s="114"/>
    </row>
    <row r="118" customFormat="1" ht="24.95" customHeight="1" spans="1:12">
      <c r="A118" s="117"/>
      <c r="B118" s="89"/>
      <c r="C118" s="89"/>
      <c r="D118" s="89"/>
      <c r="E118" s="90"/>
      <c r="F118" s="118"/>
      <c r="G118" s="90" t="str">
        <f>明细!H21</f>
        <v>美元</v>
      </c>
      <c r="H118" s="89"/>
      <c r="I118" s="89"/>
      <c r="J118" s="89"/>
      <c r="K118" s="119"/>
    </row>
    <row r="119" customFormat="1" ht="24.95" customHeight="1" spans="1:12">
      <c r="A119" s="111">
        <f>明细!A60</f>
        <v>35</v>
      </c>
      <c r="B119" s="82">
        <f>明细!D60</f>
        <v>7318159090</v>
      </c>
      <c r="C119" s="95" t="str">
        <f>明细!C60</f>
        <v>螺钉</v>
      </c>
      <c r="D119" s="95"/>
      <c r="E119" s="83">
        <f>明细!I60</f>
        <v>2</v>
      </c>
      <c r="F119" s="112" t="str">
        <f>明细!J60</f>
        <v>套</v>
      </c>
      <c r="G119" s="83">
        <f>明细!G60</f>
        <v>25.63</v>
      </c>
      <c r="H119" s="76" t="s">
        <v>236</v>
      </c>
      <c r="I119" s="82" t="str">
        <f>明细!G14</f>
        <v>美国</v>
      </c>
      <c r="J119" s="82" t="str">
        <f>明细!P60</f>
        <v>上海奉贤</v>
      </c>
      <c r="K119" s="114" t="s">
        <v>237</v>
      </c>
      <c r="L119" s="6" t="str">
        <f>明细!Q60</f>
        <v>YS524</v>
      </c>
    </row>
    <row r="120" customFormat="1" ht="24.95" customHeight="1" spans="1:12">
      <c r="A120" s="111"/>
      <c r="B120" s="82"/>
      <c r="C120" s="95"/>
      <c r="D120" s="95"/>
      <c r="E120" s="83"/>
      <c r="F120" s="112"/>
      <c r="G120" s="83">
        <f>明细!H60</f>
        <v>51.26</v>
      </c>
      <c r="H120" s="82" t="s">
        <v>238</v>
      </c>
      <c r="I120" s="82"/>
      <c r="J120" s="82"/>
      <c r="K120" s="114"/>
    </row>
    <row r="121" customFormat="1" ht="24.95" customHeight="1" spans="1:12">
      <c r="A121" s="117"/>
      <c r="B121" s="89"/>
      <c r="C121" s="89"/>
      <c r="D121" s="89"/>
      <c r="E121" s="90"/>
      <c r="F121" s="118"/>
      <c r="G121" s="90" t="str">
        <f>明细!H21</f>
        <v>美元</v>
      </c>
      <c r="H121" s="89"/>
      <c r="I121" s="89"/>
      <c r="J121" s="89"/>
      <c r="K121" s="119"/>
    </row>
    <row r="122" customFormat="1" ht="24.95" customHeight="1" spans="1:12">
      <c r="A122" s="111">
        <f>明细!A61</f>
        <v>36</v>
      </c>
      <c r="B122" s="82">
        <f>明细!D61</f>
        <v>7318159090</v>
      </c>
      <c r="C122" s="95" t="str">
        <f>明细!C61</f>
        <v>螺钉</v>
      </c>
      <c r="D122" s="95"/>
      <c r="E122" s="83">
        <f>明细!I61</f>
        <v>8</v>
      </c>
      <c r="F122" s="112" t="str">
        <f>明细!J61</f>
        <v>套</v>
      </c>
      <c r="G122" s="83">
        <f>明细!G61</f>
        <v>9.01</v>
      </c>
      <c r="H122" s="76" t="s">
        <v>236</v>
      </c>
      <c r="I122" s="82" t="str">
        <f>明细!G14</f>
        <v>美国</v>
      </c>
      <c r="J122" s="82" t="str">
        <f>明细!P61</f>
        <v>上海奉贤</v>
      </c>
      <c r="K122" s="114" t="s">
        <v>237</v>
      </c>
      <c r="L122" s="6" t="str">
        <f>明细!Q61</f>
        <v>YS523</v>
      </c>
    </row>
    <row r="123" customFormat="1" ht="24.95" customHeight="1" spans="1:12">
      <c r="A123" s="111"/>
      <c r="B123" s="82"/>
      <c r="C123" s="95"/>
      <c r="D123" s="95"/>
      <c r="E123" s="83"/>
      <c r="F123" s="112"/>
      <c r="G123" s="83">
        <f>明细!H61</f>
        <v>72.08</v>
      </c>
      <c r="H123" s="82" t="s">
        <v>238</v>
      </c>
      <c r="I123" s="82"/>
      <c r="J123" s="82"/>
      <c r="K123" s="114"/>
    </row>
    <row r="124" customFormat="1" ht="24.95" customHeight="1" spans="1:12">
      <c r="A124" s="117"/>
      <c r="B124" s="89"/>
      <c r="C124" s="89"/>
      <c r="D124" s="89"/>
      <c r="E124" s="90"/>
      <c r="F124" s="118"/>
      <c r="G124" s="90" t="str">
        <f>明细!H21</f>
        <v>美元</v>
      </c>
      <c r="H124" s="89"/>
      <c r="I124" s="89"/>
      <c r="J124" s="89"/>
      <c r="K124" s="119"/>
    </row>
    <row r="125" customFormat="1" ht="24.95" customHeight="1" spans="1:12">
      <c r="A125" s="111">
        <f>明细!A62</f>
        <v>37</v>
      </c>
      <c r="B125" s="82">
        <f>明细!D62</f>
        <v>7318159090</v>
      </c>
      <c r="C125" s="95" t="str">
        <f>明细!C62</f>
        <v>螺钉</v>
      </c>
      <c r="D125" s="95"/>
      <c r="E125" s="83">
        <f>明细!I62</f>
        <v>16</v>
      </c>
      <c r="F125" s="112" t="str">
        <f>明细!J62</f>
        <v>套</v>
      </c>
      <c r="G125" s="83">
        <f>明细!G62</f>
        <v>3.58</v>
      </c>
      <c r="H125" s="76" t="s">
        <v>236</v>
      </c>
      <c r="I125" s="82" t="str">
        <f>明细!G14</f>
        <v>美国</v>
      </c>
      <c r="J125" s="82" t="str">
        <f>明细!P62</f>
        <v>上海奉贤</v>
      </c>
      <c r="K125" s="114" t="s">
        <v>237</v>
      </c>
      <c r="L125" s="6" t="str">
        <f>明细!Q62</f>
        <v>YS331</v>
      </c>
    </row>
    <row r="126" customFormat="1" ht="24.95" customHeight="1" spans="1:12">
      <c r="A126" s="111"/>
      <c r="B126" s="82"/>
      <c r="C126" s="95"/>
      <c r="D126" s="95"/>
      <c r="E126" s="83"/>
      <c r="F126" s="112"/>
      <c r="G126" s="83">
        <f>明细!H62</f>
        <v>57.28</v>
      </c>
      <c r="H126" s="82" t="s">
        <v>238</v>
      </c>
      <c r="I126" s="82"/>
      <c r="J126" s="82"/>
      <c r="K126" s="114"/>
    </row>
    <row r="127" customFormat="1" ht="24.95" customHeight="1" spans="1:12">
      <c r="A127" s="117"/>
      <c r="B127" s="89"/>
      <c r="C127" s="89"/>
      <c r="D127" s="89"/>
      <c r="E127" s="90"/>
      <c r="F127" s="118"/>
      <c r="G127" s="90" t="str">
        <f>明细!H21</f>
        <v>美元</v>
      </c>
      <c r="H127" s="89"/>
      <c r="I127" s="89"/>
      <c r="J127" s="89"/>
      <c r="K127" s="119"/>
    </row>
    <row r="128" customFormat="1" ht="24.95" customHeight="1" spans="1:12">
      <c r="A128" s="111">
        <f>明细!A63</f>
        <v>38</v>
      </c>
      <c r="B128" s="82">
        <f>明细!D63</f>
        <v>7318159090</v>
      </c>
      <c r="C128" s="95" t="str">
        <f>明细!C63</f>
        <v>螺钉</v>
      </c>
      <c r="D128" s="95"/>
      <c r="E128" s="83">
        <f>明细!I63</f>
        <v>12</v>
      </c>
      <c r="F128" s="112" t="str">
        <f>明细!J63</f>
        <v>套</v>
      </c>
      <c r="G128" s="83">
        <f>明细!G63</f>
        <v>5.29</v>
      </c>
      <c r="H128" s="76" t="s">
        <v>236</v>
      </c>
      <c r="I128" s="82" t="str">
        <f>明细!G14</f>
        <v>美国</v>
      </c>
      <c r="J128" s="82" t="str">
        <f>明细!P63</f>
        <v>上海奉贤</v>
      </c>
      <c r="K128" s="114" t="s">
        <v>237</v>
      </c>
      <c r="L128" s="6" t="str">
        <f>明细!Q63</f>
        <v>YS340</v>
      </c>
    </row>
    <row r="129" customFormat="1" ht="24.95" customHeight="1" spans="1:12">
      <c r="A129" s="111"/>
      <c r="B129" s="82"/>
      <c r="C129" s="95"/>
      <c r="D129" s="95"/>
      <c r="E129" s="83"/>
      <c r="F129" s="112"/>
      <c r="G129" s="83">
        <f>明细!H63</f>
        <v>63.48</v>
      </c>
      <c r="H129" s="82" t="s">
        <v>238</v>
      </c>
      <c r="I129" s="82"/>
      <c r="J129" s="82"/>
      <c r="K129" s="114"/>
    </row>
    <row r="130" customFormat="1" ht="24.95" customHeight="1" spans="1:12">
      <c r="A130" s="117"/>
      <c r="B130" s="89"/>
      <c r="C130" s="89"/>
      <c r="D130" s="89"/>
      <c r="E130" s="90"/>
      <c r="F130" s="118"/>
      <c r="G130" s="90" t="str">
        <f>明细!H21</f>
        <v>美元</v>
      </c>
      <c r="H130" s="89"/>
      <c r="I130" s="89"/>
      <c r="J130" s="89"/>
      <c r="K130" s="119"/>
    </row>
    <row r="131" s="8" customFormat="1" ht="24.95" customHeight="1" spans="1:12">
      <c r="A131" s="111">
        <f>明细!A64</f>
        <v>39</v>
      </c>
      <c r="B131" s="82">
        <f>明细!D64</f>
        <v>7318159090</v>
      </c>
      <c r="C131" s="95" t="str">
        <f>明细!C64</f>
        <v>螺钉</v>
      </c>
      <c r="D131" s="95"/>
      <c r="E131" s="83">
        <f>明细!I64</f>
        <v>18</v>
      </c>
      <c r="F131" s="112" t="str">
        <f>明细!J64</f>
        <v>套</v>
      </c>
      <c r="G131" s="83">
        <f>明细!G64</f>
        <v>16.02</v>
      </c>
      <c r="H131" s="76" t="s">
        <v>236</v>
      </c>
      <c r="I131" s="82" t="str">
        <f>明细!G14</f>
        <v>美国</v>
      </c>
      <c r="J131" s="82" t="str">
        <f>明细!P64</f>
        <v>上海奉贤</v>
      </c>
      <c r="K131" s="114" t="s">
        <v>237</v>
      </c>
      <c r="L131" s="6" t="str">
        <f>明细!Q64</f>
        <v>YS313</v>
      </c>
    </row>
    <row r="132" s="8" customFormat="1" ht="24.95" customHeight="1" spans="1:12">
      <c r="A132" s="111"/>
      <c r="B132" s="82"/>
      <c r="C132" s="95"/>
      <c r="D132" s="95"/>
      <c r="E132" s="83"/>
      <c r="F132" s="112"/>
      <c r="G132" s="83">
        <f>明细!H64</f>
        <v>288.36</v>
      </c>
      <c r="H132" s="82" t="s">
        <v>238</v>
      </c>
      <c r="I132" s="82"/>
      <c r="J132" s="82"/>
      <c r="K132" s="114"/>
    </row>
    <row r="133" s="8" customFormat="1" ht="24.95" customHeight="1" spans="1:12">
      <c r="A133" s="117"/>
      <c r="B133" s="89"/>
      <c r="C133" s="89"/>
      <c r="D133" s="89"/>
      <c r="E133" s="90"/>
      <c r="F133" s="118"/>
      <c r="G133" s="90" t="str">
        <f>明细!H21</f>
        <v>美元</v>
      </c>
      <c r="H133" s="89"/>
      <c r="I133" s="89"/>
      <c r="J133" s="89"/>
      <c r="K133" s="119"/>
    </row>
    <row r="134" s="8" customFormat="1" ht="24.95" customHeight="1" spans="1:12">
      <c r="A134" s="111">
        <f>明细!A65</f>
        <v>40</v>
      </c>
      <c r="B134" s="82">
        <f>明细!D65</f>
        <v>7318159090</v>
      </c>
      <c r="C134" s="95" t="str">
        <f>明细!C65</f>
        <v>螺钉</v>
      </c>
      <c r="D134" s="95"/>
      <c r="E134" s="83">
        <f>明细!I65</f>
        <v>8</v>
      </c>
      <c r="F134" s="112" t="str">
        <f>明细!J65</f>
        <v>套</v>
      </c>
      <c r="G134" s="83">
        <f>明细!G65</f>
        <v>12.87</v>
      </c>
      <c r="H134" s="76" t="s">
        <v>236</v>
      </c>
      <c r="I134" s="82" t="str">
        <f>明细!G14</f>
        <v>美国</v>
      </c>
      <c r="J134" s="82" t="str">
        <f>明细!P65</f>
        <v>上海奉贤</v>
      </c>
      <c r="K134" s="114" t="s">
        <v>237</v>
      </c>
      <c r="L134" s="6" t="str">
        <f>明细!Q65</f>
        <v>YS252</v>
      </c>
    </row>
    <row r="135" s="8" customFormat="1" ht="24.95" customHeight="1" spans="1:12">
      <c r="A135" s="111"/>
      <c r="B135" s="82"/>
      <c r="C135" s="95"/>
      <c r="D135" s="95"/>
      <c r="E135" s="83"/>
      <c r="F135" s="112"/>
      <c r="G135" s="83">
        <f>明细!H65</f>
        <v>102.96</v>
      </c>
      <c r="H135" s="82" t="s">
        <v>238</v>
      </c>
      <c r="I135" s="82"/>
      <c r="J135" s="82"/>
      <c r="K135" s="114"/>
    </row>
    <row r="136" s="8" customFormat="1" ht="24.95" customHeight="1" spans="1:12">
      <c r="A136" s="117"/>
      <c r="B136" s="89"/>
      <c r="C136" s="89"/>
      <c r="D136" s="89"/>
      <c r="E136" s="90"/>
      <c r="F136" s="118"/>
      <c r="G136" s="90" t="str">
        <f>明细!H21</f>
        <v>美元</v>
      </c>
      <c r="H136" s="89"/>
      <c r="I136" s="89"/>
      <c r="J136" s="89"/>
      <c r="K136" s="119"/>
    </row>
    <row r="137" s="8" customFormat="1" ht="24.95" customHeight="1" spans="1:12">
      <c r="A137" s="111">
        <f>明细!A66</f>
        <v>41</v>
      </c>
      <c r="B137" s="82">
        <f>明细!D66</f>
        <v>7318159090</v>
      </c>
      <c r="C137" s="95" t="str">
        <f>明细!C66</f>
        <v>螺钉</v>
      </c>
      <c r="D137" s="95"/>
      <c r="E137" s="83">
        <f>明细!I66</f>
        <v>12</v>
      </c>
      <c r="F137" s="112" t="str">
        <f>明细!J66</f>
        <v>套</v>
      </c>
      <c r="G137" s="83">
        <f>明细!G66</f>
        <v>17.05</v>
      </c>
      <c r="H137" s="76" t="s">
        <v>236</v>
      </c>
      <c r="I137" s="82" t="str">
        <f>明细!G14</f>
        <v>美国</v>
      </c>
      <c r="J137" s="82" t="str">
        <f>明细!P66</f>
        <v>上海奉贤</v>
      </c>
      <c r="K137" s="114" t="s">
        <v>237</v>
      </c>
      <c r="L137" s="6" t="str">
        <f>明细!Q66</f>
        <v>YS251</v>
      </c>
    </row>
    <row r="138" s="8" customFormat="1" ht="24.95" customHeight="1" spans="1:12">
      <c r="A138" s="111"/>
      <c r="B138" s="82"/>
      <c r="C138" s="95"/>
      <c r="D138" s="95"/>
      <c r="E138" s="83"/>
      <c r="F138" s="112"/>
      <c r="G138" s="83">
        <f>明细!H66</f>
        <v>204.6</v>
      </c>
      <c r="H138" s="82" t="s">
        <v>238</v>
      </c>
      <c r="I138" s="82"/>
      <c r="J138" s="82"/>
      <c r="K138" s="114"/>
    </row>
    <row r="139" s="8" customFormat="1" ht="24.95" customHeight="1" spans="1:12">
      <c r="A139" s="117"/>
      <c r="B139" s="89"/>
      <c r="C139" s="89"/>
      <c r="D139" s="89"/>
      <c r="E139" s="90"/>
      <c r="F139" s="118"/>
      <c r="G139" s="90" t="str">
        <f>明细!H21</f>
        <v>美元</v>
      </c>
      <c r="H139" s="89"/>
      <c r="I139" s="89"/>
      <c r="J139" s="89"/>
      <c r="K139" s="119"/>
    </row>
    <row r="140" s="8" customFormat="1" ht="24.95" customHeight="1" spans="1:12">
      <c r="A140" s="111">
        <f>明细!A67</f>
        <v>42</v>
      </c>
      <c r="B140" s="82">
        <f>明细!D67</f>
        <v>7318159090</v>
      </c>
      <c r="C140" s="95" t="str">
        <f>明细!C67</f>
        <v>螺钉</v>
      </c>
      <c r="D140" s="95"/>
      <c r="E140" s="83">
        <f>明细!I67</f>
        <v>10</v>
      </c>
      <c r="F140" s="112" t="str">
        <f>明细!J67</f>
        <v>套</v>
      </c>
      <c r="G140" s="83">
        <f>明细!G67</f>
        <v>19.61</v>
      </c>
      <c r="H140" s="76" t="s">
        <v>236</v>
      </c>
      <c r="I140" s="82" t="str">
        <f>明细!G14</f>
        <v>美国</v>
      </c>
      <c r="J140" s="82" t="str">
        <f>明细!P67</f>
        <v>上海奉贤</v>
      </c>
      <c r="K140" s="114" t="s">
        <v>237</v>
      </c>
      <c r="L140" s="6" t="str">
        <f>明细!Q67</f>
        <v>YS678</v>
      </c>
    </row>
    <row r="141" s="8" customFormat="1" ht="24.95" customHeight="1" spans="1:12">
      <c r="A141" s="111"/>
      <c r="B141" s="82"/>
      <c r="C141" s="95"/>
      <c r="D141" s="95"/>
      <c r="E141" s="83"/>
      <c r="F141" s="112"/>
      <c r="G141" s="83">
        <f>明细!H67</f>
        <v>196.1</v>
      </c>
      <c r="H141" s="82" t="s">
        <v>238</v>
      </c>
      <c r="I141" s="82"/>
      <c r="J141" s="82"/>
      <c r="K141" s="114"/>
    </row>
    <row r="142" s="8" customFormat="1" ht="24.95" customHeight="1" spans="1:12">
      <c r="A142" s="117"/>
      <c r="B142" s="89"/>
      <c r="C142" s="89"/>
      <c r="D142" s="89"/>
      <c r="E142" s="90"/>
      <c r="F142" s="118"/>
      <c r="G142" s="90" t="str">
        <f>明细!H21</f>
        <v>美元</v>
      </c>
      <c r="H142" s="89"/>
      <c r="I142" s="89"/>
      <c r="J142" s="89"/>
      <c r="K142" s="119"/>
    </row>
    <row r="143" s="8" customFormat="1" ht="24.95" customHeight="1" spans="1:12">
      <c r="A143" s="111">
        <f>明细!A68</f>
        <v>43</v>
      </c>
      <c r="B143" s="82">
        <f>明细!D68</f>
        <v>7318159090</v>
      </c>
      <c r="C143" s="95" t="str">
        <f>明细!C68</f>
        <v>螺钉</v>
      </c>
      <c r="D143" s="95"/>
      <c r="E143" s="83">
        <f>明细!I68</f>
        <v>36</v>
      </c>
      <c r="F143" s="112" t="str">
        <f>明细!J68</f>
        <v>套</v>
      </c>
      <c r="G143" s="83">
        <f>明细!G68</f>
        <v>6.41</v>
      </c>
      <c r="H143" s="76" t="s">
        <v>236</v>
      </c>
      <c r="I143" s="82" t="str">
        <f>明细!G14</f>
        <v>美国</v>
      </c>
      <c r="J143" s="82" t="str">
        <f>明细!P68</f>
        <v>上海奉贤</v>
      </c>
      <c r="K143" s="114" t="s">
        <v>237</v>
      </c>
      <c r="L143" s="6" t="str">
        <f>明细!Q68</f>
        <v>YS108</v>
      </c>
    </row>
    <row r="144" s="8" customFormat="1" ht="24.95" customHeight="1" spans="1:12">
      <c r="A144" s="111"/>
      <c r="B144" s="82"/>
      <c r="C144" s="95"/>
      <c r="D144" s="95"/>
      <c r="E144" s="83"/>
      <c r="F144" s="112"/>
      <c r="G144" s="83">
        <f>明细!H68</f>
        <v>230.76</v>
      </c>
      <c r="H144" s="82" t="s">
        <v>238</v>
      </c>
      <c r="I144" s="82"/>
      <c r="J144" s="82"/>
      <c r="K144" s="114"/>
    </row>
    <row r="145" s="8" customFormat="1" ht="24.95" customHeight="1" spans="1:12">
      <c r="A145" s="117"/>
      <c r="B145" s="89"/>
      <c r="C145" s="89"/>
      <c r="D145" s="89"/>
      <c r="E145" s="90"/>
      <c r="F145" s="118"/>
      <c r="G145" s="90" t="str">
        <f>明细!H21</f>
        <v>美元</v>
      </c>
      <c r="H145" s="89"/>
      <c r="I145" s="89"/>
      <c r="J145" s="89"/>
      <c r="K145" s="119"/>
    </row>
    <row r="146" s="8" customFormat="1" ht="24.95" customHeight="1" spans="1:12">
      <c r="A146" s="111">
        <f>明细!A69</f>
        <v>44</v>
      </c>
      <c r="B146" s="82">
        <f>明细!D69</f>
        <v>7318159090</v>
      </c>
      <c r="C146" s="95" t="str">
        <f>明细!C69</f>
        <v>螺钉</v>
      </c>
      <c r="D146" s="95"/>
      <c r="E146" s="83">
        <f>明细!I69</f>
        <v>30</v>
      </c>
      <c r="F146" s="112" t="str">
        <f>明细!J69</f>
        <v>套</v>
      </c>
      <c r="G146" s="83">
        <f>明细!G69</f>
        <v>1.86</v>
      </c>
      <c r="H146" s="76" t="s">
        <v>236</v>
      </c>
      <c r="I146" s="82" t="str">
        <f>明细!G14</f>
        <v>美国</v>
      </c>
      <c r="J146" s="82" t="str">
        <f>明细!P69</f>
        <v>上海奉贤</v>
      </c>
      <c r="K146" s="114" t="s">
        <v>237</v>
      </c>
      <c r="L146" s="6" t="str">
        <f>明细!Q69</f>
        <v>YS157</v>
      </c>
    </row>
    <row r="147" s="8" customFormat="1" ht="24.95" customHeight="1" spans="1:12">
      <c r="A147" s="111"/>
      <c r="B147" s="82"/>
      <c r="C147" s="95"/>
      <c r="D147" s="95"/>
      <c r="E147" s="83"/>
      <c r="F147" s="112"/>
      <c r="G147" s="83">
        <f>明细!H69</f>
        <v>55.8</v>
      </c>
      <c r="H147" s="82" t="s">
        <v>238</v>
      </c>
      <c r="I147" s="82"/>
      <c r="J147" s="82"/>
      <c r="K147" s="114"/>
    </row>
    <row r="148" s="8" customFormat="1" ht="24.95" customHeight="1" spans="1:12">
      <c r="A148" s="117"/>
      <c r="B148" s="89"/>
      <c r="C148" s="89"/>
      <c r="D148" s="89"/>
      <c r="E148" s="90"/>
      <c r="F148" s="118"/>
      <c r="G148" s="90" t="str">
        <f>明细!H21</f>
        <v>美元</v>
      </c>
      <c r="H148" s="89"/>
      <c r="I148" s="89"/>
      <c r="J148" s="89"/>
      <c r="K148" s="119"/>
    </row>
    <row r="149" s="8" customFormat="1" ht="24.95" customHeight="1" spans="1:12">
      <c r="A149" s="111">
        <f>明细!A70</f>
        <v>45</v>
      </c>
      <c r="B149" s="82">
        <f>明细!D70</f>
        <v>7318159090</v>
      </c>
      <c r="C149" s="95" t="str">
        <f>明细!C70</f>
        <v>螺钉</v>
      </c>
      <c r="D149" s="95"/>
      <c r="E149" s="83">
        <f>明细!I70</f>
        <v>10</v>
      </c>
      <c r="F149" s="112" t="str">
        <f>明细!J70</f>
        <v>套</v>
      </c>
      <c r="G149" s="83">
        <f>明细!G70</f>
        <v>32.69</v>
      </c>
      <c r="H149" s="76" t="s">
        <v>236</v>
      </c>
      <c r="I149" s="82" t="str">
        <f>明细!G14</f>
        <v>美国</v>
      </c>
      <c r="J149" s="82" t="str">
        <f>明细!P70</f>
        <v>上海奉贤</v>
      </c>
      <c r="K149" s="114" t="s">
        <v>237</v>
      </c>
      <c r="L149" s="6" t="str">
        <f>明细!Q70</f>
        <v>YS49</v>
      </c>
    </row>
    <row r="150" s="8" customFormat="1" ht="24.95" customHeight="1" spans="1:12">
      <c r="A150" s="111"/>
      <c r="B150" s="82"/>
      <c r="C150" s="95"/>
      <c r="D150" s="95"/>
      <c r="E150" s="83"/>
      <c r="F150" s="112"/>
      <c r="G150" s="83">
        <f>明细!H70</f>
        <v>326.9</v>
      </c>
      <c r="H150" s="82" t="s">
        <v>238</v>
      </c>
      <c r="I150" s="82"/>
      <c r="J150" s="82"/>
      <c r="K150" s="114"/>
    </row>
    <row r="151" s="8" customFormat="1" ht="24.95" customHeight="1" spans="1:12">
      <c r="A151" s="117"/>
      <c r="B151" s="89"/>
      <c r="C151" s="89"/>
      <c r="D151" s="89"/>
      <c r="E151" s="90"/>
      <c r="F151" s="118"/>
      <c r="G151" s="90" t="str">
        <f>明细!H21</f>
        <v>美元</v>
      </c>
      <c r="H151" s="89"/>
      <c r="I151" s="89"/>
      <c r="J151" s="89"/>
      <c r="K151" s="119"/>
    </row>
    <row r="152" s="8" customFormat="1" ht="24.95" customHeight="1" spans="1:12">
      <c r="A152" s="111">
        <f>明细!A71</f>
        <v>46</v>
      </c>
      <c r="B152" s="82">
        <f>明细!D71</f>
        <v>7318159090</v>
      </c>
      <c r="C152" s="95" t="str">
        <f>明细!C71</f>
        <v>螺钉</v>
      </c>
      <c r="D152" s="95"/>
      <c r="E152" s="83">
        <f>明细!I71</f>
        <v>208</v>
      </c>
      <c r="F152" s="112" t="str">
        <f>明细!J71</f>
        <v>套</v>
      </c>
      <c r="G152" s="83">
        <f>明细!G71</f>
        <v>3.27</v>
      </c>
      <c r="H152" s="76" t="s">
        <v>236</v>
      </c>
      <c r="I152" s="82" t="str">
        <f>明细!G14</f>
        <v>美国</v>
      </c>
      <c r="J152" s="82" t="str">
        <f>明细!P71</f>
        <v>上海奉贤</v>
      </c>
      <c r="K152" s="114" t="s">
        <v>237</v>
      </c>
      <c r="L152" s="6" t="str">
        <f>明细!Q71</f>
        <v>YS48</v>
      </c>
    </row>
    <row r="153" s="8" customFormat="1" ht="24.95" customHeight="1" spans="1:12">
      <c r="A153" s="111"/>
      <c r="B153" s="82"/>
      <c r="C153" s="95"/>
      <c r="D153" s="95"/>
      <c r="E153" s="83"/>
      <c r="F153" s="112"/>
      <c r="G153" s="83">
        <f>明细!H71</f>
        <v>680.16</v>
      </c>
      <c r="H153" s="82" t="s">
        <v>238</v>
      </c>
      <c r="I153" s="82"/>
      <c r="J153" s="82"/>
      <c r="K153" s="114"/>
    </row>
    <row r="154" s="8" customFormat="1" ht="24.95" customHeight="1" spans="1:12">
      <c r="A154" s="117"/>
      <c r="B154" s="89"/>
      <c r="C154" s="89"/>
      <c r="D154" s="89"/>
      <c r="E154" s="90"/>
      <c r="F154" s="118"/>
      <c r="G154" s="90" t="str">
        <f>明细!H21</f>
        <v>美元</v>
      </c>
      <c r="H154" s="89"/>
      <c r="I154" s="89"/>
      <c r="J154" s="89"/>
      <c r="K154" s="119"/>
    </row>
    <row r="155" s="8" customFormat="1" ht="24.95" customHeight="1" spans="1:12">
      <c r="A155" s="111">
        <f>明细!A72</f>
        <v>47</v>
      </c>
      <c r="B155" s="82">
        <f>明细!D72</f>
        <v>7318159090</v>
      </c>
      <c r="C155" s="95" t="str">
        <f>明细!C72</f>
        <v>螺钉</v>
      </c>
      <c r="D155" s="95"/>
      <c r="E155" s="83">
        <f>明细!I72</f>
        <v>12</v>
      </c>
      <c r="F155" s="112" t="str">
        <f>明细!J72</f>
        <v>套</v>
      </c>
      <c r="G155" s="83">
        <f>明细!G72</f>
        <v>24.51</v>
      </c>
      <c r="H155" s="76" t="s">
        <v>236</v>
      </c>
      <c r="I155" s="82" t="str">
        <f>明细!G14</f>
        <v>美国</v>
      </c>
      <c r="J155" s="82" t="str">
        <f>明细!P72</f>
        <v>上海奉贤</v>
      </c>
      <c r="K155" s="114" t="s">
        <v>237</v>
      </c>
      <c r="L155" s="6" t="str">
        <f>明细!Q72</f>
        <v>YS679</v>
      </c>
    </row>
    <row r="156" s="8" customFormat="1" ht="24.95" customHeight="1" spans="1:12">
      <c r="A156" s="111"/>
      <c r="B156" s="82"/>
      <c r="C156" s="95"/>
      <c r="D156" s="95"/>
      <c r="E156" s="83"/>
      <c r="F156" s="112"/>
      <c r="G156" s="83">
        <f>明细!H72</f>
        <v>294.12</v>
      </c>
      <c r="H156" s="82" t="s">
        <v>238</v>
      </c>
      <c r="I156" s="82"/>
      <c r="J156" s="82"/>
      <c r="K156" s="114"/>
    </row>
    <row r="157" s="8" customFormat="1" ht="24.95" customHeight="1" spans="1:12">
      <c r="A157" s="117"/>
      <c r="B157" s="89"/>
      <c r="C157" s="89"/>
      <c r="D157" s="89"/>
      <c r="E157" s="90"/>
      <c r="F157" s="118"/>
      <c r="G157" s="90" t="str">
        <f>明细!H21</f>
        <v>美元</v>
      </c>
      <c r="H157" s="89"/>
      <c r="I157" s="89"/>
      <c r="J157" s="89"/>
      <c r="K157" s="119"/>
    </row>
    <row r="158" s="8" customFormat="1" ht="24.95" customHeight="1" spans="1:12">
      <c r="A158" s="111">
        <f>明细!A73</f>
        <v>48</v>
      </c>
      <c r="B158" s="82">
        <f>明细!D73</f>
        <v>7318159090</v>
      </c>
      <c r="C158" s="95" t="str">
        <f>明细!C73</f>
        <v>螺钉</v>
      </c>
      <c r="D158" s="95"/>
      <c r="E158" s="83">
        <f>明细!I73</f>
        <v>24</v>
      </c>
      <c r="F158" s="112" t="str">
        <f>明细!J73</f>
        <v>套</v>
      </c>
      <c r="G158" s="83">
        <f>明细!G73</f>
        <v>8.41</v>
      </c>
      <c r="H158" s="76" t="s">
        <v>236</v>
      </c>
      <c r="I158" s="82" t="str">
        <f>明细!G14</f>
        <v>美国</v>
      </c>
      <c r="J158" s="82" t="str">
        <f>明细!P73</f>
        <v>上海奉贤</v>
      </c>
      <c r="K158" s="114" t="s">
        <v>237</v>
      </c>
      <c r="L158" s="6" t="str">
        <f>明细!Q73</f>
        <v>YS107</v>
      </c>
    </row>
    <row r="159" s="8" customFormat="1" ht="24.95" customHeight="1" spans="1:12">
      <c r="A159" s="111"/>
      <c r="B159" s="82"/>
      <c r="C159" s="95"/>
      <c r="D159" s="95"/>
      <c r="E159" s="83"/>
      <c r="F159" s="112"/>
      <c r="G159" s="83">
        <f>明细!H73</f>
        <v>201.84</v>
      </c>
      <c r="H159" s="82" t="s">
        <v>238</v>
      </c>
      <c r="I159" s="82"/>
      <c r="J159" s="82"/>
      <c r="K159" s="114"/>
    </row>
    <row r="160" s="8" customFormat="1" ht="24.95" customHeight="1" spans="1:12">
      <c r="A160" s="117"/>
      <c r="B160" s="89"/>
      <c r="C160" s="89"/>
      <c r="D160" s="89"/>
      <c r="E160" s="90"/>
      <c r="F160" s="118"/>
      <c r="G160" s="90" t="str">
        <f>明细!H21</f>
        <v>美元</v>
      </c>
      <c r="H160" s="89"/>
      <c r="I160" s="89"/>
      <c r="J160" s="89"/>
      <c r="K160" s="119"/>
    </row>
    <row r="161" s="8" customFormat="1" ht="24.95" customHeight="1" spans="1:12">
      <c r="A161" s="111">
        <f>明细!A74</f>
        <v>49</v>
      </c>
      <c r="B161" s="82">
        <f>明细!D74</f>
        <v>7318159090</v>
      </c>
      <c r="C161" s="95" t="str">
        <f>明细!C74</f>
        <v>螺钉</v>
      </c>
      <c r="D161" s="95"/>
      <c r="E161" s="83">
        <f>明细!I74</f>
        <v>18</v>
      </c>
      <c r="F161" s="112" t="str">
        <f>明细!J74</f>
        <v>套</v>
      </c>
      <c r="G161" s="83">
        <f>明细!G74</f>
        <v>21.45</v>
      </c>
      <c r="H161" s="76" t="s">
        <v>236</v>
      </c>
      <c r="I161" s="82" t="str">
        <f>明细!G14</f>
        <v>美国</v>
      </c>
      <c r="J161" s="82" t="str">
        <f>明细!P74</f>
        <v>上海奉贤</v>
      </c>
      <c r="K161" s="114" t="s">
        <v>237</v>
      </c>
      <c r="L161" s="6" t="str">
        <f>明细!Q74</f>
        <v>YS51</v>
      </c>
    </row>
    <row r="162" s="8" customFormat="1" ht="24.95" customHeight="1" spans="1:12">
      <c r="A162" s="111"/>
      <c r="B162" s="82"/>
      <c r="C162" s="95"/>
      <c r="D162" s="95"/>
      <c r="E162" s="83"/>
      <c r="F162" s="112"/>
      <c r="G162" s="83">
        <f>明细!H74</f>
        <v>386.1</v>
      </c>
      <c r="H162" s="82" t="s">
        <v>238</v>
      </c>
      <c r="I162" s="82"/>
      <c r="J162" s="82"/>
      <c r="K162" s="114"/>
    </row>
    <row r="163" s="8" customFormat="1" ht="24.95" customHeight="1" spans="1:12">
      <c r="A163" s="117"/>
      <c r="B163" s="89"/>
      <c r="C163" s="89"/>
      <c r="D163" s="89"/>
      <c r="E163" s="90"/>
      <c r="F163" s="118"/>
      <c r="G163" s="90" t="str">
        <f>明细!H21</f>
        <v>美元</v>
      </c>
      <c r="H163" s="89"/>
      <c r="I163" s="89"/>
      <c r="J163" s="89"/>
      <c r="K163" s="119"/>
    </row>
    <row r="164" s="8" customFormat="1" ht="24.95" customHeight="1" spans="1:12">
      <c r="A164" s="111">
        <f>明细!A75</f>
        <v>50</v>
      </c>
      <c r="B164" s="82">
        <f>明细!D75</f>
        <v>7318159090</v>
      </c>
      <c r="C164" s="95" t="str">
        <f>明细!C75</f>
        <v>螺钉</v>
      </c>
      <c r="D164" s="95"/>
      <c r="E164" s="83">
        <f>明细!I75</f>
        <v>96</v>
      </c>
      <c r="F164" s="112" t="str">
        <f>明细!J75</f>
        <v>套</v>
      </c>
      <c r="G164" s="83">
        <f>明细!G75</f>
        <v>4.29</v>
      </c>
      <c r="H164" s="76" t="s">
        <v>236</v>
      </c>
      <c r="I164" s="82" t="str">
        <f>明细!G14</f>
        <v>美国</v>
      </c>
      <c r="J164" s="82" t="str">
        <f>明细!P75</f>
        <v>上海奉贤</v>
      </c>
      <c r="K164" s="114" t="s">
        <v>237</v>
      </c>
      <c r="L164" s="6" t="str">
        <f>明细!Q75</f>
        <v>YS50</v>
      </c>
    </row>
    <row r="165" s="8" customFormat="1" ht="24.95" customHeight="1" spans="1:12">
      <c r="A165" s="111"/>
      <c r="B165" s="82"/>
      <c r="C165" s="95"/>
      <c r="D165" s="95"/>
      <c r="E165" s="83"/>
      <c r="F165" s="112"/>
      <c r="G165" s="83">
        <f>明细!H75</f>
        <v>411.84</v>
      </c>
      <c r="H165" s="82" t="s">
        <v>238</v>
      </c>
      <c r="I165" s="82"/>
      <c r="J165" s="82"/>
      <c r="K165" s="114"/>
    </row>
    <row r="166" s="8" customFormat="1" ht="24.95" customHeight="1" spans="1:12">
      <c r="A166" s="117"/>
      <c r="B166" s="89"/>
      <c r="C166" s="89"/>
      <c r="D166" s="89"/>
      <c r="E166" s="90"/>
      <c r="F166" s="118"/>
      <c r="G166" s="90" t="str">
        <f>明细!H21</f>
        <v>美元</v>
      </c>
      <c r="H166" s="89"/>
      <c r="I166" s="89"/>
      <c r="J166" s="89"/>
      <c r="K166" s="119"/>
    </row>
    <row r="167" ht="24.95" customHeight="1" spans="1:12">
      <c r="A167" s="105"/>
      <c r="B167" s="106"/>
      <c r="C167" s="120" t="s">
        <v>239</v>
      </c>
      <c r="D167" s="109"/>
      <c r="E167" s="120" t="s">
        <v>240</v>
      </c>
      <c r="F167" s="109"/>
      <c r="G167" s="109"/>
      <c r="H167" s="120" t="s">
        <v>241</v>
      </c>
      <c r="I167" s="109"/>
      <c r="J167" s="120" t="s">
        <v>242</v>
      </c>
      <c r="K167" s="121"/>
    </row>
    <row r="168" ht="24.95" customHeight="1" spans="1:12">
      <c r="A168" s="122" t="s">
        <v>243</v>
      </c>
      <c r="B168" s="123"/>
      <c r="C168" s="124"/>
      <c r="D168" s="124"/>
      <c r="E168" s="124"/>
      <c r="F168" s="124"/>
      <c r="G168" s="124"/>
      <c r="H168" s="124"/>
      <c r="I168" s="123" t="s">
        <v>244</v>
      </c>
      <c r="J168" s="124"/>
      <c r="K168" s="125"/>
    </row>
    <row r="169" ht="24.95" customHeight="1" spans="1:12">
      <c r="A169" s="126"/>
      <c r="B169" s="127"/>
      <c r="C169" s="127"/>
      <c r="D169" s="127"/>
      <c r="E169" s="127"/>
      <c r="F169" s="127"/>
      <c r="G169" s="127"/>
      <c r="H169" s="127"/>
      <c r="I169" s="127"/>
      <c r="J169" s="127"/>
      <c r="K169" s="128"/>
    </row>
    <row r="176" spans="1:12">
      <c r="L176" s="10" t="s">
        <v>138</v>
      </c>
    </row>
    <row r="177" s="9" customFormat="1" ht="20.1" customHeight="1" spans="1:2">
      <c r="A177" s="129" t="s">
        <v>245</v>
      </c>
      <c r="B177" s="129"/>
    </row>
    <row r="178" s="9" customFormat="1" ht="20.1" customHeight="1" spans="1:2">
      <c r="A178" s="129" t="s">
        <v>246</v>
      </c>
      <c r="B178" s="129"/>
    </row>
    <row r="179" s="9" customFormat="1" ht="20.1" customHeight="1" spans="1:2">
      <c r="A179" s="129" t="s">
        <v>247</v>
      </c>
      <c r="B179" s="129"/>
    </row>
    <row r="180" s="9" customFormat="1" ht="20.1" customHeight="1" spans="1:2">
      <c r="A180" s="129" t="s">
        <v>248</v>
      </c>
      <c r="B180" s="129"/>
    </row>
    <row r="181" s="9" customFormat="1" ht="20.1" customHeight="1" spans="1:2">
      <c r="A181" s="129" t="s">
        <v>249</v>
      </c>
      <c r="B181" s="129"/>
    </row>
    <row r="182" s="9" customFormat="1" ht="20.1" customHeight="1" spans="1:2">
      <c r="A182" s="129" t="s">
        <v>250</v>
      </c>
      <c r="B182" s="129"/>
    </row>
    <row r="183" s="9" customFormat="1" ht="20.1" customHeight="1" spans="1:2">
      <c r="A183" s="129" t="s">
        <v>251</v>
      </c>
      <c r="B183" s="129"/>
    </row>
  </sheetData>
  <mergeCells count="199">
    <mergeCell ref="A1:K1"/>
    <mergeCell ref="A2:K2"/>
    <mergeCell ref="B3:C3"/>
    <mergeCell ref="D3:F3"/>
    <mergeCell ref="G3:H3"/>
    <mergeCell ref="J3:K3"/>
    <mergeCell ref="A4:C4"/>
    <mergeCell ref="D4:F4"/>
    <mergeCell ref="G4:H4"/>
    <mergeCell ref="J4:K4"/>
    <mergeCell ref="A5:C5"/>
    <mergeCell ref="D5:F5"/>
    <mergeCell ref="G5:H5"/>
    <mergeCell ref="I5:K5"/>
    <mergeCell ref="A6:C6"/>
    <mergeCell ref="D6:F6"/>
    <mergeCell ref="G6:H6"/>
    <mergeCell ref="I6:K6"/>
    <mergeCell ref="B7:C7"/>
    <mergeCell ref="D7:F7"/>
    <mergeCell ref="G7:H7"/>
    <mergeCell ref="I7:K7"/>
    <mergeCell ref="A8:C8"/>
    <mergeCell ref="D8:F8"/>
    <mergeCell ref="G8:H8"/>
    <mergeCell ref="I8:K8"/>
    <mergeCell ref="A9:C9"/>
    <mergeCell ref="D9:F9"/>
    <mergeCell ref="G9:H9"/>
    <mergeCell ref="J9:K9"/>
    <mergeCell ref="A10:C10"/>
    <mergeCell ref="D10:F10"/>
    <mergeCell ref="G10:H10"/>
    <mergeCell ref="J10:K10"/>
    <mergeCell ref="A11:C11"/>
    <mergeCell ref="E11:F11"/>
    <mergeCell ref="A12:C12"/>
    <mergeCell ref="E12:F12"/>
    <mergeCell ref="A13:K13"/>
    <mergeCell ref="C16:D16"/>
    <mergeCell ref="E16:F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A167:B167"/>
    <mergeCell ref="C167:D167"/>
    <mergeCell ref="E167:G167"/>
    <mergeCell ref="H167:I167"/>
    <mergeCell ref="J167:K167"/>
    <mergeCell ref="A14:K15"/>
    <mergeCell ref="A168:H169"/>
    <mergeCell ref="I168:K169"/>
  </mergeCells>
  <pageMargins left="0.472222222222222" right="0.472222222222222" top="0.472222222222222" bottom="0.472222222222222" header="0.298611111111111" footer="0.298611111111111"/>
  <pageSetup paperSize="9" scale="52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"/>
    </sheetView>
  </sheetViews>
  <sheetFormatPr defaultColWidth="9" defaultRowHeight="14.25" outlineLevelCol="4"/>
  <cols>
    <col min="1" max="1" width="54" style="1" customWidth="1"/>
    <col min="2" max="2" width="7.625" style="2" customWidth="1"/>
    <col min="3" max="3" width="9" style="2" customWidth="1"/>
    <col min="4" max="4" width="9" style="2"/>
    <col min="5" max="5" width="6.75" style="2" customWidth="1"/>
    <col min="6" max="16384" width="9" style="2"/>
  </cols>
  <sheetData>
    <row r="1" ht="26.25" customHeight="1" spans="1:5">
      <c r="A1" s="3" t="s">
        <v>51</v>
      </c>
      <c r="B1" s="3"/>
      <c r="C1" s="4"/>
      <c r="D1" s="4"/>
      <c r="E1" s="4"/>
    </row>
    <row r="2" spans="1:5">
      <c r="A2" s="1" t="str">
        <f>明细!O26</f>
        <v>0|0|不锈钢|460-750MPA|无品牌|无型号|4.85MM</v>
      </c>
    </row>
    <row r="3" spans="1:5">
      <c r="A3" s="1" t="str">
        <f>明细!O27</f>
        <v>0|0|不锈钢|460-750MPA|无品牌|无型号|4.85MM</v>
      </c>
    </row>
    <row r="4" spans="1:5">
      <c r="A4" s="1" t="str">
        <f>明细!O28</f>
        <v>0|0|不锈钢|460-750MPA|无品牌|无型号|4.85MM</v>
      </c>
    </row>
    <row r="5" spans="1:5">
      <c r="A5" s="1" t="str">
        <f>明细!O29</f>
        <v>0|0|不锈钢|460-750MPA|无品牌|无型号|4.85MM</v>
      </c>
    </row>
    <row r="6" spans="1:5">
      <c r="A6" s="1" t="str">
        <f>明细!O30</f>
        <v>0|0|不锈钢|460-750MPA|无品牌|无型号|4.85MM</v>
      </c>
    </row>
    <row r="7" spans="1:5">
      <c r="A7" s="1" t="str">
        <f>明细!O31</f>
        <v>0|0|不锈钢|460-750MPA|无品牌|无型号|4.85MM</v>
      </c>
    </row>
    <row r="8" spans="1:5">
      <c r="A8" s="1" t="str">
        <f>明细!O32</f>
        <v>0|0|不锈钢|460-750MPA|无品牌|无型号|4.85MM</v>
      </c>
    </row>
    <row r="9" spans="1:5">
      <c r="A9" s="1" t="str">
        <f>明细!O33</f>
        <v>0|0|非工业用|铁|锻造</v>
      </c>
    </row>
    <row r="10" spans="1:5">
      <c r="A10" s="1" t="str">
        <f>明细!O34</f>
        <v>0|0|非工业用|铁|锻造</v>
      </c>
    </row>
    <row r="11" spans="1:5">
      <c r="A11" s="1" t="str">
        <f>明细!O35</f>
        <v>0|0|非工业用|铁|锻造</v>
      </c>
    </row>
    <row r="12" spans="1:5">
      <c r="A12" s="1" t="str">
        <f>明细!O36</f>
        <v>0|0|非工业用|铁|锻造</v>
      </c>
    </row>
    <row r="13" spans="1:5">
      <c r="A13" s="1" t="str">
        <f>明细!O37</f>
        <v>0|0|铁|460-750MPA|无品牌|无型号|4.85MM</v>
      </c>
    </row>
    <row r="14" spans="1:5">
      <c r="A14" s="1" t="str">
        <f>明细!O38</f>
        <v>0|0|家用|不锈钢|无品牌|无型号</v>
      </c>
    </row>
    <row r="15" spans="1:5">
      <c r="A15" s="1" t="str">
        <f>明细!O39</f>
        <v>0|0|家用|铁|无品牌|无型号</v>
      </c>
    </row>
    <row r="16" spans="1:5">
      <c r="A16" s="1" t="str">
        <f>明细!O40</f>
        <v>0|0|家用|铁|无品牌|无型号</v>
      </c>
    </row>
    <row r="17" spans="1:1">
      <c r="A17" s="1" t="str">
        <f>明细!O41</f>
        <v>0|0|家用|铁|无品牌|无型号</v>
      </c>
    </row>
    <row r="18" spans="1:1">
      <c r="A18" s="1" t="str">
        <f>明细!O42</f>
        <v>0|0|家用|铁|无品牌|无型号</v>
      </c>
    </row>
    <row r="19" spans="1:1">
      <c r="A19" s="1" t="str">
        <f>明细!O43</f>
        <v>0|0|家用|铁|无品牌|无型号</v>
      </c>
    </row>
    <row r="20" spans="1:1">
      <c r="A20" s="1" t="str">
        <f>明细!O44</f>
        <v>0|0|家用|铁|无品牌|无型号</v>
      </c>
    </row>
    <row r="21" spans="1:1">
      <c r="A21" s="1" t="str">
        <f>明细!O45</f>
        <v>0|0|家用|铁|无品牌|无型号</v>
      </c>
    </row>
    <row r="22" spans="1:1">
      <c r="A22" s="1" t="str">
        <f>明细!O46</f>
        <v>0|0|家用|不锈钢|无品牌|无型号</v>
      </c>
    </row>
    <row r="23" spans="1:1">
      <c r="A23" s="1" t="str">
        <f>明细!O47</f>
        <v>0|0|家用|不锈钢|无品牌|无型号</v>
      </c>
    </row>
    <row r="24" spans="1:1">
      <c r="A24" s="1" t="str">
        <f>明细!O48</f>
        <v>0|0|家用|不锈钢|无品牌|无型号</v>
      </c>
    </row>
    <row r="25" spans="1:1">
      <c r="A25" s="1" t="str">
        <f>明细!O49</f>
        <v>0|0|家用|不锈钢|无品牌|无型号</v>
      </c>
    </row>
    <row r="26" spans="1:1">
      <c r="A26" s="1" t="str">
        <f>明细!O50</f>
        <v>0|0|家用|不锈钢|无品牌|无型号</v>
      </c>
    </row>
    <row r="27" spans="1:1">
      <c r="A27" s="1" t="str">
        <f>明细!O51</f>
        <v>0|0|铁|460-750MPA|无品牌|无型号|4.85MM</v>
      </c>
    </row>
    <row r="28" spans="1:1">
      <c r="A28" s="1" t="str">
        <f>明细!O52</f>
        <v>0|0|铁|460-750MPA|无品牌|无型号|4.85MM</v>
      </c>
    </row>
    <row r="29" spans="1:1">
      <c r="A29" s="1" t="str">
        <f>明细!O53</f>
        <v>0|0|铁|460-750MPA|无品牌|无型号|4.85MM</v>
      </c>
    </row>
    <row r="30" spans="1:1">
      <c r="A30" s="1" t="str">
        <f>明细!O54</f>
        <v>0|0|铁|460-750MPA|无品牌|无型号|4.85MM</v>
      </c>
    </row>
    <row r="31" spans="1:1">
      <c r="A31" s="1" t="str">
        <f>明细!O55</f>
        <v>0|0|铁|460-750MPA|无品牌|无型号|4.85MM</v>
      </c>
    </row>
    <row r="32" spans="1:1">
      <c r="A32" s="1" t="str">
        <f>明细!O56</f>
        <v>0|0|铁|460-750MPA|无品牌|无型号|4.85MM</v>
      </c>
    </row>
    <row r="33" spans="1:1">
      <c r="A33" s="1" t="str">
        <f>明细!O57</f>
        <v>0|0|铁|460-750MPA|无品牌|无型号|4.85MM</v>
      </c>
    </row>
    <row r="34" spans="1:1">
      <c r="A34" s="1" t="str">
        <f>明细!O58</f>
        <v>0|0|铁|460-750MPA|无品牌|无型号|4.85MM</v>
      </c>
    </row>
    <row r="35" spans="1:1">
      <c r="A35" s="1" t="str">
        <f>明细!O59</f>
        <v>0|0|铁|460-750MPA|无品牌|无型号|4.85MM</v>
      </c>
    </row>
    <row r="36" spans="1:1">
      <c r="A36" s="1" t="str">
        <f>明细!O60</f>
        <v>0|0|铁|460-750MPA|无品牌|无型号|4.85MM</v>
      </c>
    </row>
    <row r="37" spans="1:1">
      <c r="A37" s="1" t="str">
        <f>明细!O61</f>
        <v>0|0|铁|460-750MPA|无品牌|无型号|4.85MM</v>
      </c>
    </row>
    <row r="38" spans="1:1">
      <c r="A38" s="1" t="str">
        <f>明细!O62</f>
        <v>0|0|铁|460-750MPA|无品牌|无型号|4.85MM</v>
      </c>
    </row>
    <row r="39" spans="1:1">
      <c r="A39" s="1" t="str">
        <f>明细!O63</f>
        <v>0|0|铁|460-750MPA|无品牌|无型号|4.85MM</v>
      </c>
    </row>
    <row r="40" spans="1:1">
      <c r="A40" s="1" t="str">
        <f>明细!O64</f>
        <v>0|0|铁|460-750MPA|无品牌|无型号|4.85MM</v>
      </c>
    </row>
    <row r="41" spans="1:1">
      <c r="A41" s="1" t="str">
        <f>明细!O65</f>
        <v>0|0|铁|460-750MPA|无品牌|无型号|4.85MM</v>
      </c>
    </row>
    <row r="42" spans="1:1">
      <c r="A42" s="1" t="str">
        <f>明细!O66</f>
        <v>0|0|铁|460-750MPA|无品牌|无型号|4.85MM</v>
      </c>
    </row>
    <row r="43" spans="1:1">
      <c r="A43" s="1" t="str">
        <f>明细!O67</f>
        <v>0|0|铁|460-750MPA|无品牌|无型号|4.85MM</v>
      </c>
    </row>
    <row r="44" spans="1:1">
      <c r="A44" s="1" t="str">
        <f>明细!O68</f>
        <v>0|0|铁|460-750MPA|无品牌|无型号|4.85MM</v>
      </c>
    </row>
    <row r="45" spans="1:1">
      <c r="A45" s="1" t="str">
        <f>明细!O69</f>
        <v>0|0|铁|460-750MPA|无品牌|无型号|4.85MM</v>
      </c>
    </row>
    <row r="46" spans="1:1">
      <c r="A46" s="1" t="str">
        <f>明细!O70</f>
        <v>0|0|铁|460-750MPA|无品牌|无型号|4.85MM</v>
      </c>
    </row>
    <row r="47" spans="1:1">
      <c r="A47" s="1" t="str">
        <f>明细!O71</f>
        <v>0|0|铁|460-750MPA|无品牌|无型号|4.85MM</v>
      </c>
    </row>
    <row r="48" spans="1:1">
      <c r="A48" s="1" t="str">
        <f>明细!O72</f>
        <v>0|0|铁|460-750MPA|无品牌|无型号|4.85MM</v>
      </c>
    </row>
    <row r="49" spans="1:1">
      <c r="A49" s="1" t="str">
        <f>明细!O73</f>
        <v>0|0|铁|460-750MPA|无品牌|无型号|4.85MM</v>
      </c>
    </row>
    <row r="50" spans="1:1">
      <c r="A50" s="1" t="str">
        <f>明细!O74</f>
        <v>0|0|铁|460-750MPA|无品牌|无型号|4.85MM</v>
      </c>
    </row>
    <row r="51" spans="1:1">
      <c r="A51" s="1" t="str">
        <f>明细!O75</f>
        <v>0|0|铁|460-750MPA|无品牌|无型号|4.85MM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>
    <arrUserId title="区域9_1_3_2" rangeCreator="" othersAccessPermission="edit"/>
    <arrUserId title="区域9_1_3_2_1" rangeCreator="" othersAccessPermission="edit"/>
  </rangeList>
  <rangeList sheetStid="1" master="" otherUserPermission="visible"/>
  <rangeList sheetStid="4" master="" otherUserPermission="visible"/>
  <rangeList sheetStid="2" master="" otherUserPermission="visible"/>
  <rangeList sheetStid="9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明细</vt:lpstr>
      <vt:lpstr>发票</vt:lpstr>
      <vt:lpstr>外销合同</vt:lpstr>
      <vt:lpstr>箱单</vt:lpstr>
      <vt:lpstr>报关单</vt:lpstr>
      <vt:lpstr>申报要素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张zy</dc:creator>
  <cp:lastModifiedBy>Z</cp:lastModifiedBy>
  <cp:revision>1</cp:revision>
  <dcterms:created xsi:type="dcterms:W3CDTF">1996-12-17T01:32:00Z</dcterms:created>
  <cp:lastPrinted>2020-04-07T08:09:00Z</cp:lastPrinted>
  <dcterms:modified xsi:type="dcterms:W3CDTF">2026-01-27T01:58:24Z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14B0D276395C432AAF6B18D2F36D2C81_13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